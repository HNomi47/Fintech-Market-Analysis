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tables/table6.xml" ContentType="application/vnd.openxmlformats-officedocument.spreadsheetml.table+xml"/>
  <Override PartName="/xl/queryTables/queryTable5.xml" ContentType="application/vnd.openxmlformats-officedocument.spreadsheetml.query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7.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1c6d8ccc2bcf8817/Desktop/"/>
    </mc:Choice>
  </mc:AlternateContent>
  <xr:revisionPtr revIDLastSave="534" documentId="8_{07674F71-C97D-457F-9D89-6F2D9D7752F9}" xr6:coauthVersionLast="47" xr6:coauthVersionMax="47" xr10:uidLastSave="{9221D864-EA25-4DB1-AAF3-A3A56825E962}"/>
  <bookViews>
    <workbookView xWindow="-110" yWindow="-110" windowWidth="18490" windowHeight="11020" firstSheet="11" activeTab="14" xr2:uid="{00000000-000D-0000-FFFF-FFFF00000000}"/>
  </bookViews>
  <sheets>
    <sheet name="Exploratory Data Analysis" sheetId="15" r:id="rId1"/>
    <sheet name="Top_of_Mind_Awareness" sheetId="8" r:id="rId2"/>
    <sheet name="Imagery_Analysis" sheetId="9" r:id="rId3"/>
    <sheet name="Sheet1" sheetId="11" state="hidden" r:id="rId4"/>
    <sheet name="NPS" sheetId="10" r:id="rId5"/>
    <sheet name="Analysis for alternate apps" sheetId="13" r:id="rId6"/>
    <sheet name="CURRENT USAGE_Data" sheetId="4" r:id="rId7"/>
    <sheet name="Awareness_data" sheetId="17" r:id="rId8"/>
    <sheet name="Engineered_Awareness_data" sheetId="5" r:id="rId9"/>
    <sheet name="EVER USED_Data" sheetId="3" r:id="rId10"/>
    <sheet name="IMAGERY_Data" sheetId="6" r:id="rId11"/>
    <sheet name="SINGLE_RESPONSES" sheetId="7" r:id="rId12"/>
    <sheet name="Main_Table" sheetId="2" r:id="rId13"/>
    <sheet name="Form Responses 1" sheetId="1" state="hidden" r:id="rId14"/>
    <sheet name="Reason_to_switch_&amp;_keep_using" sheetId="12" r:id="rId15"/>
  </sheets>
  <externalReferences>
    <externalReference r:id="rId16"/>
  </externalReferences>
  <definedNames>
    <definedName name="_xlnm._FilterDatabase" localSheetId="13" hidden="1">'Form Responses 1'!$A$1:$AB$151</definedName>
    <definedName name="_xlchart.v2.0" hidden="1">'Exploratory Data Analysis'!$B$43:$B$46</definedName>
    <definedName name="_xlchart.v2.1" hidden="1">'Exploratory Data Analysis'!$D$43:$D$46</definedName>
    <definedName name="_xlchart.v2.2" hidden="1">Top_of_Mind_Awareness!$B$20:$B$23</definedName>
    <definedName name="_xlchart.v2.3" hidden="1">Top_of_Mind_Awareness!$E$20:$E$23</definedName>
    <definedName name="ExternalData_1" localSheetId="7" hidden="1">Awareness_data!$A$1:$B$331</definedName>
    <definedName name="ExternalData_1" localSheetId="12" hidden="1">Main_Table!$A$1:$AA$151</definedName>
    <definedName name="ExternalData_2" localSheetId="9" hidden="1">'EVER USED_Data'!$A$1:$B$299</definedName>
    <definedName name="ExternalData_2" localSheetId="14" hidden="1">'Reason_to_switch_&amp;_keep_using'!$A$1:$F$151</definedName>
    <definedName name="ExternalData_3" localSheetId="6" hidden="1">'CURRENT USAGE_Data'!$A$1:$B$255</definedName>
    <definedName name="ExternalData_3" localSheetId="10" hidden="1">IMAGERY_Data!$A$1:$C$1197</definedName>
    <definedName name="ExternalData_4" localSheetId="11" hidden="1">SINGLE_RESPONSES!$A$1:$R$151</definedName>
  </definedNames>
  <calcPr calcId="191029"/>
  <pivotCaches>
    <pivotCache cacheId="0"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4" i="15" l="1"/>
  <c r="P54" i="15"/>
  <c r="O54" i="15"/>
  <c r="N54" i="15"/>
  <c r="Q53" i="15"/>
  <c r="P53" i="15"/>
  <c r="O53" i="15"/>
  <c r="N53" i="15"/>
  <c r="Q52" i="15"/>
  <c r="P52" i="15"/>
  <c r="O52" i="15"/>
  <c r="N52" i="15"/>
  <c r="Q51" i="15"/>
  <c r="P51" i="15"/>
  <c r="O51" i="15"/>
  <c r="N51" i="15"/>
  <c r="Q50" i="15"/>
  <c r="P50" i="15"/>
  <c r="O50" i="15"/>
  <c r="N50" i="15"/>
  <c r="Q49" i="15"/>
  <c r="P49" i="15"/>
  <c r="O49" i="15"/>
  <c r="N49" i="15"/>
  <c r="Q48" i="15"/>
  <c r="P48" i="15"/>
  <c r="O48" i="15"/>
  <c r="N48" i="15"/>
  <c r="Q47" i="15"/>
  <c r="P47" i="15"/>
  <c r="O47" i="15"/>
  <c r="N47" i="15"/>
  <c r="H284" i="7"/>
  <c r="G284" i="7"/>
  <c r="F284" i="7"/>
  <c r="F292" i="7" s="1"/>
  <c r="Q39" i="15"/>
  <c r="P39" i="15"/>
  <c r="O39" i="15"/>
  <c r="N39" i="15"/>
  <c r="Q38" i="15"/>
  <c r="P38" i="15"/>
  <c r="O38" i="15"/>
  <c r="N38" i="15"/>
  <c r="Q37" i="15"/>
  <c r="P37" i="15"/>
  <c r="O37" i="15"/>
  <c r="N37" i="15"/>
  <c r="Q36" i="15"/>
  <c r="P36" i="15"/>
  <c r="O36" i="15"/>
  <c r="N36" i="15"/>
  <c r="Q35" i="15"/>
  <c r="P35" i="15"/>
  <c r="O35" i="15"/>
  <c r="N35" i="15"/>
  <c r="O27" i="15"/>
  <c r="P27" i="15"/>
  <c r="Q27" i="15"/>
  <c r="O28" i="15"/>
  <c r="P28" i="15"/>
  <c r="Q28" i="15"/>
  <c r="O29" i="15"/>
  <c r="P29" i="15"/>
  <c r="Q29" i="15"/>
  <c r="O30" i="15"/>
  <c r="P30" i="15"/>
  <c r="Q30" i="15"/>
  <c r="O31" i="15"/>
  <c r="P31" i="15"/>
  <c r="Q31" i="15"/>
  <c r="O32" i="15"/>
  <c r="P32" i="15"/>
  <c r="Q32" i="15"/>
  <c r="O33" i="15"/>
  <c r="P33" i="15"/>
  <c r="Q33" i="15"/>
  <c r="N28" i="15"/>
  <c r="N29" i="15"/>
  <c r="N30" i="15"/>
  <c r="N31" i="15"/>
  <c r="N32" i="15"/>
  <c r="N33" i="15"/>
  <c r="N27" i="15"/>
  <c r="P10" i="15"/>
  <c r="Q10" i="15"/>
  <c r="R10" i="15"/>
  <c r="Q11" i="15"/>
  <c r="R11" i="15"/>
  <c r="P12" i="15"/>
  <c r="R12" i="15"/>
  <c r="P13" i="15"/>
  <c r="Q13" i="15"/>
  <c r="O11" i="15"/>
  <c r="O12" i="15"/>
  <c r="O13" i="15"/>
  <c r="D90" i="15"/>
  <c r="E90" i="15" s="1"/>
  <c r="D89" i="15"/>
  <c r="E89" i="15" s="1"/>
  <c r="D88" i="15"/>
  <c r="E88" i="15" s="1"/>
  <c r="D87" i="15"/>
  <c r="E87" i="15" s="1"/>
  <c r="B58" i="15" a="1"/>
  <c r="C44" i="15"/>
  <c r="D44" i="15" s="1"/>
  <c r="C45" i="15"/>
  <c r="C46" i="15"/>
  <c r="D46" i="15" s="1"/>
  <c r="C43" i="15"/>
  <c r="D43" i="15" s="1"/>
  <c r="D45" i="15"/>
  <c r="B10" i="15" a="1"/>
  <c r="H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I151" i="12"/>
  <c r="G151" i="12"/>
  <c r="I150" i="12"/>
  <c r="G150" i="12"/>
  <c r="I149" i="12"/>
  <c r="I148" i="12"/>
  <c r="G148" i="12"/>
  <c r="I147" i="12"/>
  <c r="G147" i="12"/>
  <c r="I146" i="12"/>
  <c r="I145" i="12"/>
  <c r="G145" i="12"/>
  <c r="I144" i="12"/>
  <c r="I143" i="12"/>
  <c r="G143" i="12"/>
  <c r="I142" i="12"/>
  <c r="I141" i="12"/>
  <c r="I140" i="12"/>
  <c r="I139" i="12"/>
  <c r="I138" i="12"/>
  <c r="I137" i="12"/>
  <c r="I136" i="12"/>
  <c r="G136" i="12"/>
  <c r="I135" i="12"/>
  <c r="G135" i="12"/>
  <c r="I134" i="12"/>
  <c r="G134" i="12"/>
  <c r="I133" i="12"/>
  <c r="G133" i="12"/>
  <c r="I132" i="12"/>
  <c r="I131" i="12"/>
  <c r="I130" i="12"/>
  <c r="G130" i="12"/>
  <c r="I129" i="12"/>
  <c r="I128" i="12"/>
  <c r="I127" i="12"/>
  <c r="G127" i="12"/>
  <c r="I126" i="12"/>
  <c r="G126" i="12"/>
  <c r="I125" i="12"/>
  <c r="I124" i="12"/>
  <c r="G124" i="12"/>
  <c r="I123" i="12"/>
  <c r="I122" i="12"/>
  <c r="G122" i="12"/>
  <c r="I121" i="12"/>
  <c r="I120" i="12"/>
  <c r="G120" i="12"/>
  <c r="I119" i="12"/>
  <c r="I118" i="12"/>
  <c r="G118" i="12"/>
  <c r="I117" i="12"/>
  <c r="I116" i="12"/>
  <c r="I115" i="12"/>
  <c r="I114" i="12"/>
  <c r="I113" i="12"/>
  <c r="G113" i="12"/>
  <c r="I112" i="12"/>
  <c r="G112" i="12"/>
  <c r="I111" i="12"/>
  <c r="G111" i="12"/>
  <c r="I110" i="12"/>
  <c r="I109" i="12"/>
  <c r="G109" i="12"/>
  <c r="I108" i="12"/>
  <c r="I107" i="12"/>
  <c r="G107" i="12"/>
  <c r="I106" i="12"/>
  <c r="I105" i="12"/>
  <c r="G105" i="12"/>
  <c r="I104" i="12"/>
  <c r="I103" i="12"/>
  <c r="I102" i="12"/>
  <c r="G102" i="12"/>
  <c r="I101" i="12"/>
  <c r="G101" i="12"/>
  <c r="I100" i="12"/>
  <c r="I99" i="12"/>
  <c r="I98" i="12"/>
  <c r="I97" i="12"/>
  <c r="G97" i="12"/>
  <c r="I96" i="12"/>
  <c r="I95" i="12"/>
  <c r="G95" i="12"/>
  <c r="I94" i="12"/>
  <c r="G94" i="12"/>
  <c r="I93" i="12"/>
  <c r="G93" i="12"/>
  <c r="I92" i="12"/>
  <c r="G92" i="12"/>
  <c r="I91" i="12"/>
  <c r="G91" i="12"/>
  <c r="I90" i="12"/>
  <c r="G90" i="12"/>
  <c r="I89" i="12"/>
  <c r="G89" i="12"/>
  <c r="I88" i="12"/>
  <c r="I87" i="12"/>
  <c r="G87" i="12"/>
  <c r="I86" i="12"/>
  <c r="I85" i="12"/>
  <c r="I84" i="12"/>
  <c r="I83" i="12"/>
  <c r="I82" i="12"/>
  <c r="I81" i="12"/>
  <c r="I80" i="12"/>
  <c r="G80" i="12"/>
  <c r="I79" i="12"/>
  <c r="G79" i="12"/>
  <c r="I78" i="12"/>
  <c r="G78" i="12"/>
  <c r="I77" i="12"/>
  <c r="I76" i="12"/>
  <c r="I75" i="12"/>
  <c r="I74" i="12"/>
  <c r="G74" i="12"/>
  <c r="I73" i="12"/>
  <c r="G73" i="12"/>
  <c r="I72" i="12"/>
  <c r="G72" i="12"/>
  <c r="I71" i="12"/>
  <c r="I70" i="12"/>
  <c r="G70" i="12"/>
  <c r="I69" i="12"/>
  <c r="I68" i="12"/>
  <c r="G68" i="12"/>
  <c r="I67" i="12"/>
  <c r="I66" i="12"/>
  <c r="I65" i="12"/>
  <c r="I64" i="12"/>
  <c r="I63" i="12"/>
  <c r="I62" i="12"/>
  <c r="I61" i="12"/>
  <c r="I60" i="12"/>
  <c r="G60" i="12"/>
  <c r="I59" i="12"/>
  <c r="G59" i="12"/>
  <c r="I58" i="12"/>
  <c r="I57" i="12"/>
  <c r="I56" i="12"/>
  <c r="G56" i="12"/>
  <c r="I55" i="12"/>
  <c r="G55" i="12"/>
  <c r="I54" i="12"/>
  <c r="I53" i="12"/>
  <c r="I52" i="12"/>
  <c r="I51" i="12"/>
  <c r="I50" i="12"/>
  <c r="G50" i="12"/>
  <c r="I49" i="12"/>
  <c r="G49" i="12"/>
  <c r="I48" i="12"/>
  <c r="I47" i="12"/>
  <c r="I46" i="12"/>
  <c r="G46" i="12"/>
  <c r="I45" i="12"/>
  <c r="I44" i="12"/>
  <c r="I43" i="12"/>
  <c r="I42" i="12"/>
  <c r="G42" i="12"/>
  <c r="I41" i="12"/>
  <c r="G41" i="12"/>
  <c r="I40" i="12"/>
  <c r="I39" i="12"/>
  <c r="I38" i="12"/>
  <c r="G38" i="12"/>
  <c r="I37" i="12"/>
  <c r="G37" i="12"/>
  <c r="I36" i="12"/>
  <c r="G36" i="12"/>
  <c r="I35" i="12"/>
  <c r="I34" i="12"/>
  <c r="G34" i="12"/>
  <c r="I33" i="12"/>
  <c r="I32" i="12"/>
  <c r="G32" i="12"/>
  <c r="I31" i="12"/>
  <c r="I30" i="12"/>
  <c r="G30" i="12"/>
  <c r="I29" i="12"/>
  <c r="G29" i="12"/>
  <c r="I28" i="12"/>
  <c r="I27" i="12"/>
  <c r="I26" i="12"/>
  <c r="G26" i="12"/>
  <c r="I25" i="12"/>
  <c r="G25" i="12"/>
  <c r="I24" i="12"/>
  <c r="I23" i="12"/>
  <c r="G23" i="12"/>
  <c r="I22" i="12"/>
  <c r="G22" i="12"/>
  <c r="I21" i="12"/>
  <c r="G21" i="12"/>
  <c r="I20" i="12"/>
  <c r="G20" i="12"/>
  <c r="I19" i="12"/>
  <c r="I18" i="12"/>
  <c r="I17" i="12"/>
  <c r="I16" i="12"/>
  <c r="G16" i="12"/>
  <c r="I15" i="12"/>
  <c r="I14" i="12"/>
  <c r="G14" i="12"/>
  <c r="I13" i="12"/>
  <c r="I12" i="12"/>
  <c r="I11" i="12"/>
  <c r="I10" i="12"/>
  <c r="G10" i="12"/>
  <c r="I9" i="12"/>
  <c r="G9" i="12"/>
  <c r="I8" i="12"/>
  <c r="G8" i="12"/>
  <c r="I7" i="12"/>
  <c r="I6" i="12"/>
  <c r="I5" i="12"/>
  <c r="I4" i="12"/>
  <c r="I3" i="12"/>
  <c r="G3" i="12"/>
  <c r="I2" i="12"/>
  <c r="F20" i="8"/>
  <c r="E20" i="8"/>
  <c r="D20" i="8"/>
  <c r="C20" i="8"/>
  <c r="C7" i="11"/>
  <c r="E7" i="11"/>
  <c r="D7" i="11"/>
  <c r="I284" i="7"/>
  <c r="G285" i="7"/>
  <c r="H285" i="7"/>
  <c r="I285" i="7"/>
  <c r="G286" i="7"/>
  <c r="H286" i="7"/>
  <c r="I286" i="7"/>
  <c r="G287" i="7"/>
  <c r="H287" i="7"/>
  <c r="I287" i="7"/>
  <c r="G288" i="7"/>
  <c r="H288" i="7"/>
  <c r="I288" i="7"/>
  <c r="G289" i="7"/>
  <c r="H289" i="7"/>
  <c r="I289" i="7"/>
  <c r="G290" i="7"/>
  <c r="H290" i="7"/>
  <c r="I290" i="7"/>
  <c r="G291" i="7"/>
  <c r="H291" i="7"/>
  <c r="I291" i="7"/>
  <c r="F285" i="7"/>
  <c r="F286" i="7"/>
  <c r="F287" i="7"/>
  <c r="F288" i="7"/>
  <c r="F289" i="7"/>
  <c r="F290" i="7"/>
  <c r="F291" i="7"/>
  <c r="H250" i="7"/>
  <c r="I250" i="7"/>
  <c r="J250" i="7"/>
  <c r="I251" i="7"/>
  <c r="J251" i="7"/>
  <c r="H252" i="7"/>
  <c r="J252" i="7"/>
  <c r="H253" i="7"/>
  <c r="I253" i="7"/>
  <c r="G251" i="7"/>
  <c r="G252" i="7"/>
  <c r="G253" i="7"/>
  <c r="H242" i="7"/>
  <c r="I242" i="7" s="1"/>
  <c r="H240" i="7"/>
  <c r="I240" i="7" s="1"/>
  <c r="H241" i="7"/>
  <c r="I241" i="7" s="1"/>
  <c r="H239" i="7"/>
  <c r="I239" i="7" s="1"/>
  <c r="F227" i="7" a="1"/>
  <c r="F232" i="7" s="1"/>
  <c r="H218" i="7"/>
  <c r="I218" i="7" s="1"/>
  <c r="H219" i="7"/>
  <c r="I219" i="7" s="1"/>
  <c r="H220" i="7"/>
  <c r="I220" i="7" s="1"/>
  <c r="H221" i="7"/>
  <c r="I221" i="7" s="1"/>
  <c r="H222" i="7"/>
  <c r="I222" i="7" s="1"/>
  <c r="H223" i="7"/>
  <c r="I223" i="7" s="1"/>
  <c r="H217" i="7"/>
  <c r="I217" i="7" s="1"/>
  <c r="G208" i="7" a="1"/>
  <c r="H208" i="7" s="1"/>
  <c r="I208" i="7" s="1"/>
  <c r="H188" i="7"/>
  <c r="I188" i="7" s="1"/>
  <c r="H187" i="7"/>
  <c r="I187" i="7" s="1"/>
  <c r="H186" i="7"/>
  <c r="I186" i="7" s="1"/>
  <c r="H185" i="7"/>
  <c r="I185" i="7" s="1"/>
  <c r="I157" i="7"/>
  <c r="J157" i="7" s="1"/>
  <c r="I158" i="7"/>
  <c r="J158" i="7" s="1"/>
  <c r="I159" i="7"/>
  <c r="J159" i="7" s="1"/>
  <c r="I156" i="7"/>
  <c r="J156" i="7" s="1"/>
  <c r="D2" i="7" a="1"/>
  <c r="D3" i="7" a="1"/>
  <c r="D4" i="7" a="1"/>
  <c r="D5" i="7" a="1"/>
  <c r="D6" i="7" a="1"/>
  <c r="D7" i="7" a="1"/>
  <c r="D8" i="7" a="1"/>
  <c r="D9" i="7" a="1"/>
  <c r="D10" i="7" a="1"/>
  <c r="D11" i="7" a="1"/>
  <c r="D12" i="7" a="1"/>
  <c r="D13" i="7" a="1"/>
  <c r="D14" i="7" a="1"/>
  <c r="D15" i="7" a="1"/>
  <c r="D16" i="7" a="1"/>
  <c r="D17" i="7" a="1"/>
  <c r="D18" i="7" a="1"/>
  <c r="D19" i="7" a="1"/>
  <c r="D20" i="7" a="1"/>
  <c r="D21" i="7" a="1"/>
  <c r="D22" i="7" a="1"/>
  <c r="D23" i="7" a="1"/>
  <c r="D24" i="7" a="1"/>
  <c r="D25" i="7" a="1"/>
  <c r="D26" i="7" a="1"/>
  <c r="D27" i="7" a="1"/>
  <c r="D28" i="7" a="1"/>
  <c r="D29" i="7" a="1"/>
  <c r="D30" i="7" a="1"/>
  <c r="D31" i="7" a="1"/>
  <c r="D32" i="7" a="1"/>
  <c r="D33" i="7" a="1"/>
  <c r="D34" i="7" a="1"/>
  <c r="D35" i="7" a="1"/>
  <c r="D36" i="7" a="1"/>
  <c r="D37" i="7" a="1"/>
  <c r="D38" i="7" a="1"/>
  <c r="D39" i="7" a="1"/>
  <c r="D40" i="7" a="1"/>
  <c r="D41" i="7" a="1"/>
  <c r="D42" i="7" a="1"/>
  <c r="D43" i="7" a="1"/>
  <c r="D44" i="7" a="1"/>
  <c r="D45" i="7" a="1"/>
  <c r="D46" i="7" a="1"/>
  <c r="D47" i="7" a="1"/>
  <c r="D48" i="7" a="1"/>
  <c r="D49" i="7" a="1"/>
  <c r="D50" i="7" a="1"/>
  <c r="D51" i="7" a="1"/>
  <c r="D52" i="7" a="1"/>
  <c r="D53" i="7" a="1"/>
  <c r="D54" i="7" a="1"/>
  <c r="D55" i="7" a="1"/>
  <c r="D56" i="7" a="1"/>
  <c r="D57" i="7" a="1"/>
  <c r="D58" i="7" a="1"/>
  <c r="D59" i="7" a="1"/>
  <c r="D60" i="7" a="1"/>
  <c r="D61" i="7" a="1"/>
  <c r="D62" i="7" a="1"/>
  <c r="D63" i="7" a="1"/>
  <c r="D64" i="7" a="1"/>
  <c r="D65" i="7" a="1"/>
  <c r="D66" i="7" a="1"/>
  <c r="D67" i="7" a="1"/>
  <c r="D68" i="7" a="1"/>
  <c r="D69" i="7" a="1"/>
  <c r="D70" i="7" a="1"/>
  <c r="D71" i="7" a="1"/>
  <c r="D72" i="7" a="1"/>
  <c r="D73" i="7" a="1"/>
  <c r="D74" i="7" a="1"/>
  <c r="D75" i="7" a="1"/>
  <c r="D76" i="7" a="1"/>
  <c r="D77" i="7" a="1"/>
  <c r="D78" i="7" a="1"/>
  <c r="D79" i="7" a="1"/>
  <c r="D80" i="7" a="1"/>
  <c r="D81" i="7" a="1"/>
  <c r="D82" i="7" a="1"/>
  <c r="D83" i="7" a="1"/>
  <c r="D84" i="7" a="1"/>
  <c r="D85" i="7" a="1"/>
  <c r="D86" i="7" a="1"/>
  <c r="D87" i="7" a="1"/>
  <c r="D88" i="7" a="1"/>
  <c r="D89" i="7" a="1"/>
  <c r="D90" i="7" a="1"/>
  <c r="D91" i="7" a="1"/>
  <c r="D92" i="7" a="1"/>
  <c r="D93" i="7" a="1"/>
  <c r="D94" i="7" a="1"/>
  <c r="D95" i="7" a="1"/>
  <c r="D96" i="7" a="1"/>
  <c r="D97" i="7" a="1"/>
  <c r="D98" i="7" a="1"/>
  <c r="D99" i="7" a="1"/>
  <c r="D100" i="7" a="1"/>
  <c r="D101" i="7" a="1"/>
  <c r="D102" i="7" a="1"/>
  <c r="D103" i="7" a="1"/>
  <c r="D104" i="7" a="1"/>
  <c r="D105" i="7" a="1"/>
  <c r="D106" i="7" a="1"/>
  <c r="D107" i="7" a="1"/>
  <c r="D108" i="7" a="1"/>
  <c r="D109" i="7" a="1"/>
  <c r="D110" i="7" a="1"/>
  <c r="D111" i="7" a="1"/>
  <c r="D112" i="7" a="1"/>
  <c r="D113" i="7" a="1"/>
  <c r="D114" i="7" a="1"/>
  <c r="D115" i="7" a="1"/>
  <c r="D116" i="7" a="1"/>
  <c r="D117" i="7" a="1"/>
  <c r="D118" i="7" a="1"/>
  <c r="D119" i="7" a="1"/>
  <c r="D120" i="7" a="1"/>
  <c r="D121" i="7" a="1"/>
  <c r="D122" i="7" a="1"/>
  <c r="D123" i="7" a="1"/>
  <c r="D124" i="7" a="1"/>
  <c r="D125" i="7" a="1"/>
  <c r="D126" i="7" a="1"/>
  <c r="D127" i="7" a="1"/>
  <c r="D128" i="7" a="1"/>
  <c r="D129" i="7" a="1"/>
  <c r="D130" i="7" a="1"/>
  <c r="D131" i="7" a="1"/>
  <c r="D132" i="7" a="1"/>
  <c r="D133" i="7" a="1"/>
  <c r="D134" i="7" a="1"/>
  <c r="D135" i="7" a="1"/>
  <c r="D136" i="7" a="1"/>
  <c r="D137" i="7" a="1"/>
  <c r="D138" i="7" a="1"/>
  <c r="D139" i="7" a="1"/>
  <c r="D140" i="7" a="1"/>
  <c r="D141" i="7" a="1"/>
  <c r="D142" i="7" a="1"/>
  <c r="D143" i="7" a="1"/>
  <c r="D144" i="7" a="1"/>
  <c r="D145" i="7" a="1"/>
  <c r="D146" i="7" a="1"/>
  <c r="D147" i="7" a="1"/>
  <c r="D148" i="7" a="1"/>
  <c r="D149" i="7" a="1"/>
  <c r="D150" i="7" a="1"/>
  <c r="D151" i="7" a="1"/>
  <c r="B156" i="7" a="1"/>
  <c r="C156" i="7" s="1"/>
  <c r="E156" i="7" s="1"/>
  <c r="F23" i="9"/>
  <c r="I8" i="8"/>
  <c r="I9" i="8"/>
  <c r="H154" i="5"/>
  <c r="I154" i="5"/>
  <c r="J154" i="5"/>
  <c r="G154" i="5"/>
  <c r="I152" i="5"/>
  <c r="J152" i="5"/>
  <c r="H152" i="5"/>
  <c r="G15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2" i="5"/>
  <c r="F19" i="9"/>
  <c r="E6" i="10" a="1"/>
  <c r="E17" i="10" s="1"/>
  <c r="H26" i="9"/>
  <c r="G26" i="9"/>
  <c r="F26" i="9"/>
  <c r="E26" i="9"/>
  <c r="H25" i="9"/>
  <c r="G25" i="9"/>
  <c r="F25" i="9"/>
  <c r="E25" i="9"/>
  <c r="H24" i="9"/>
  <c r="G24" i="9"/>
  <c r="F24" i="9"/>
  <c r="E24" i="9"/>
  <c r="H23" i="9"/>
  <c r="G23" i="9"/>
  <c r="E23" i="9"/>
  <c r="H22" i="9"/>
  <c r="G22" i="9"/>
  <c r="F22" i="9"/>
  <c r="E22" i="9"/>
  <c r="H21" i="9"/>
  <c r="G21" i="9"/>
  <c r="F21" i="9"/>
  <c r="E21" i="9"/>
  <c r="H20" i="9"/>
  <c r="G20" i="9"/>
  <c r="F20" i="9"/>
  <c r="E20" i="9"/>
  <c r="H19" i="9"/>
  <c r="G19" i="9"/>
  <c r="E19" i="9"/>
  <c r="D19" i="9" a="1"/>
  <c r="E18" i="9" a="1"/>
  <c r="E6" i="9" a="1"/>
  <c r="D7" i="9" a="1"/>
  <c r="E7" i="9" s="1"/>
  <c r="V7" i="8" a="1"/>
  <c r="W9" i="8" s="1"/>
  <c r="Q7" i="8" a="1"/>
  <c r="R8" i="8" s="1"/>
  <c r="G7" i="8" a="1"/>
  <c r="L7" i="8" a="1"/>
  <c r="M8" i="8" s="1"/>
  <c r="B1" i="8"/>
  <c r="B7" i="8" a="1"/>
  <c r="C7" i="8" s="1"/>
  <c r="B28" i="15" l="1" a="1"/>
  <c r="B178" i="7" a="1"/>
  <c r="I275" i="7"/>
  <c r="H275" i="7"/>
  <c r="G275" i="7"/>
  <c r="F275" i="7"/>
  <c r="I274" i="7"/>
  <c r="H274" i="7"/>
  <c r="G274" i="7"/>
  <c r="F274" i="7"/>
  <c r="I273" i="7"/>
  <c r="H273" i="7"/>
  <c r="G273" i="7"/>
  <c r="F273" i="7"/>
  <c r="I272" i="7"/>
  <c r="H272" i="7"/>
  <c r="G272" i="7"/>
  <c r="F272" i="7"/>
  <c r="I271" i="7"/>
  <c r="H271" i="7"/>
  <c r="G271" i="7"/>
  <c r="F271" i="7"/>
  <c r="F264" i="7"/>
  <c r="G264" i="7"/>
  <c r="H264" i="7"/>
  <c r="I264" i="7"/>
  <c r="F265" i="7"/>
  <c r="G265" i="7"/>
  <c r="H265" i="7"/>
  <c r="I265" i="7"/>
  <c r="F266" i="7"/>
  <c r="G266" i="7"/>
  <c r="H266" i="7"/>
  <c r="I266" i="7"/>
  <c r="F267" i="7"/>
  <c r="G267" i="7"/>
  <c r="H267" i="7"/>
  <c r="I267" i="7"/>
  <c r="F268" i="7"/>
  <c r="G268" i="7"/>
  <c r="H268" i="7"/>
  <c r="I268" i="7"/>
  <c r="F269" i="7"/>
  <c r="G269" i="7"/>
  <c r="H269" i="7"/>
  <c r="I269" i="7"/>
  <c r="H263" i="7"/>
  <c r="I263" i="7"/>
  <c r="G263" i="7"/>
  <c r="F263" i="7"/>
  <c r="C61" i="15"/>
  <c r="D61" i="15" s="1"/>
  <c r="C60" i="15"/>
  <c r="D60" i="15" s="1"/>
  <c r="C59" i="15"/>
  <c r="D59" i="15" s="1"/>
  <c r="C58" i="15"/>
  <c r="D58" i="15" s="1"/>
  <c r="C10" i="15"/>
  <c r="D10" i="15" s="1"/>
  <c r="C11" i="15"/>
  <c r="D11" i="15" s="1"/>
  <c r="C12" i="15"/>
  <c r="D12" i="15" s="1"/>
  <c r="E28" i="15"/>
  <c r="D28" i="15" s="1"/>
  <c r="E32" i="15"/>
  <c r="D32" i="15" s="1"/>
  <c r="E31" i="15"/>
  <c r="D31" i="15" s="1"/>
  <c r="E29" i="15"/>
  <c r="D29" i="15" s="1"/>
  <c r="E30" i="15"/>
  <c r="D30" i="15" s="1"/>
  <c r="H292" i="7"/>
  <c r="I292" i="7"/>
  <c r="G292" i="7"/>
  <c r="L259" i="7"/>
  <c r="L260" i="7"/>
  <c r="L261" i="7"/>
  <c r="L262" i="7"/>
  <c r="L264" i="7"/>
  <c r="L263" i="7"/>
  <c r="L271" i="7"/>
  <c r="L273" i="7"/>
  <c r="L275" i="7"/>
  <c r="L270" i="7"/>
  <c r="L272" i="7"/>
  <c r="L274" i="7"/>
  <c r="L276" i="7"/>
  <c r="H211" i="7"/>
  <c r="I211" i="7" s="1"/>
  <c r="G233" i="7"/>
  <c r="F228" i="7"/>
  <c r="I231" i="7"/>
  <c r="F231" i="7"/>
  <c r="H230" i="7"/>
  <c r="H234" i="7"/>
  <c r="G229" i="7"/>
  <c r="C157" i="7"/>
  <c r="E157" i="7" s="1"/>
  <c r="H210" i="7"/>
  <c r="I210" i="7" s="1"/>
  <c r="F234" i="7"/>
  <c r="F230" i="7"/>
  <c r="G234" i="7"/>
  <c r="I232" i="7"/>
  <c r="H231" i="7"/>
  <c r="G230" i="7"/>
  <c r="I228" i="7"/>
  <c r="H209" i="7"/>
  <c r="I209" i="7" s="1"/>
  <c r="F233" i="7"/>
  <c r="F229" i="7"/>
  <c r="I233" i="7"/>
  <c r="H232" i="7"/>
  <c r="G231" i="7"/>
  <c r="I229" i="7"/>
  <c r="H228" i="7"/>
  <c r="I234" i="7"/>
  <c r="H233" i="7"/>
  <c r="G232" i="7"/>
  <c r="I230" i="7"/>
  <c r="H229" i="7"/>
  <c r="G228" i="7"/>
  <c r="H7" i="10"/>
  <c r="H8" i="10"/>
  <c r="H9" i="10"/>
  <c r="H10" i="10"/>
  <c r="H11" i="10"/>
  <c r="H12" i="10"/>
  <c r="H13" i="10"/>
  <c r="H14" i="10"/>
  <c r="H15" i="10"/>
  <c r="H16" i="10"/>
  <c r="H17" i="10"/>
  <c r="W10" i="8"/>
  <c r="X10" i="8" s="1"/>
  <c r="F23" i="8" s="1"/>
  <c r="F24" i="8" s="1"/>
  <c r="E7" i="10"/>
  <c r="E8" i="10"/>
  <c r="E9" i="10"/>
  <c r="E10" i="10"/>
  <c r="E11" i="10"/>
  <c r="E12" i="10"/>
  <c r="E13" i="10"/>
  <c r="E14" i="10"/>
  <c r="E15" i="10"/>
  <c r="E16" i="10"/>
  <c r="R11" i="8"/>
  <c r="S11" i="8" s="1"/>
  <c r="R13" i="8"/>
  <c r="S13" i="8" s="1"/>
  <c r="R9" i="8"/>
  <c r="S9" i="8" s="1"/>
  <c r="C21" i="8" s="1"/>
  <c r="W13" i="8"/>
  <c r="X13" i="8" s="1"/>
  <c r="F7" i="10"/>
  <c r="F8" i="10"/>
  <c r="F9" i="10"/>
  <c r="F10" i="10"/>
  <c r="F11" i="10"/>
  <c r="F12" i="10"/>
  <c r="F13" i="10"/>
  <c r="F14" i="10"/>
  <c r="F15" i="10"/>
  <c r="F16" i="10"/>
  <c r="F17" i="10"/>
  <c r="W11" i="8"/>
  <c r="X11" i="8" s="1"/>
  <c r="R10" i="8"/>
  <c r="S10" i="8" s="1"/>
  <c r="R12" i="8"/>
  <c r="S12" i="8" s="1"/>
  <c r="W12" i="8"/>
  <c r="X12" i="8" s="1"/>
  <c r="W8" i="8"/>
  <c r="X8" i="8" s="1"/>
  <c r="E23" i="8" s="1"/>
  <c r="E24" i="8" s="1"/>
  <c r="G7" i="10"/>
  <c r="G8" i="10"/>
  <c r="G9" i="10"/>
  <c r="G10" i="10"/>
  <c r="G11" i="10"/>
  <c r="G12" i="10"/>
  <c r="G13" i="10"/>
  <c r="G14" i="10"/>
  <c r="G15" i="10"/>
  <c r="G16" i="10"/>
  <c r="G17" i="10"/>
  <c r="C158" i="7"/>
  <c r="E158" i="7" s="1"/>
  <c r="H11" i="8"/>
  <c r="I11" i="8" s="1"/>
  <c r="H13" i="8"/>
  <c r="I13" i="8" s="1"/>
  <c r="H12" i="8"/>
  <c r="I12" i="8" s="1"/>
  <c r="E13" i="9"/>
  <c r="E9" i="9"/>
  <c r="F14" i="9"/>
  <c r="H12" i="9"/>
  <c r="G11" i="9"/>
  <c r="F10" i="9"/>
  <c r="H8" i="9"/>
  <c r="G7" i="9"/>
  <c r="E12" i="9"/>
  <c r="E8" i="9"/>
  <c r="H13" i="9"/>
  <c r="G12" i="9"/>
  <c r="F11" i="9"/>
  <c r="H9" i="9"/>
  <c r="G8" i="9"/>
  <c r="F7" i="9"/>
  <c r="E14" i="9"/>
  <c r="E10" i="9"/>
  <c r="G14" i="9"/>
  <c r="F13" i="9"/>
  <c r="H11" i="9"/>
  <c r="G10" i="9"/>
  <c r="F9" i="9"/>
  <c r="H7" i="9"/>
  <c r="E11" i="9"/>
  <c r="H14" i="9"/>
  <c r="G13" i="9"/>
  <c r="F12" i="9"/>
  <c r="H10" i="9"/>
  <c r="G9" i="9"/>
  <c r="F8" i="9"/>
  <c r="X9" i="8"/>
  <c r="C23" i="8" s="1"/>
  <c r="C24" i="8" s="1"/>
  <c r="I10" i="8"/>
  <c r="S8" i="8"/>
  <c r="E21" i="8" s="1"/>
  <c r="D7" i="8"/>
  <c r="M11" i="8"/>
  <c r="N11" i="8" s="1"/>
  <c r="C13" i="8"/>
  <c r="D13" i="8" s="1"/>
  <c r="C9" i="8"/>
  <c r="D9" i="8" s="1"/>
  <c r="M10" i="8"/>
  <c r="N10" i="8" s="1"/>
  <c r="C11" i="8"/>
  <c r="D11" i="8" s="1"/>
  <c r="C10" i="8"/>
  <c r="D10" i="8" s="1"/>
  <c r="C12" i="8"/>
  <c r="D12" i="8" s="1"/>
  <c r="C8" i="8"/>
  <c r="D8" i="8" s="1"/>
  <c r="M13" i="8"/>
  <c r="N13" i="8" s="1"/>
  <c r="M9" i="8"/>
  <c r="N9" i="8" s="1"/>
  <c r="C22" i="8" s="1"/>
  <c r="M12" i="8"/>
  <c r="N12" i="8" s="1"/>
  <c r="N8" i="8"/>
  <c r="E22" i="8" s="1"/>
  <c r="G18" i="10" l="1"/>
  <c r="F18" i="10"/>
  <c r="E18" i="10"/>
  <c r="H18" i="10"/>
  <c r="F22" i="10"/>
  <c r="C178" i="7" s="1"/>
  <c r="D178" i="7" s="1"/>
  <c r="C180" i="7"/>
  <c r="D180" i="7" s="1"/>
  <c r="C179" i="7"/>
  <c r="D179" i="7" s="1"/>
  <c r="C181" i="7"/>
  <c r="D181" i="7" s="1"/>
  <c r="C182" i="7"/>
  <c r="D182" i="7" s="1"/>
  <c r="G23" i="10"/>
  <c r="G21" i="10"/>
  <c r="R7" i="8"/>
  <c r="S7" i="8" s="1"/>
  <c r="D21" i="8" s="1"/>
  <c r="F23" i="10"/>
  <c r="F21" i="10"/>
  <c r="H22" i="10"/>
  <c r="G22" i="10"/>
  <c r="F21" i="8"/>
  <c r="F22" i="8"/>
  <c r="E22" i="10"/>
  <c r="W7" i="8"/>
  <c r="X7" i="8" s="1"/>
  <c r="D23" i="8" s="1"/>
  <c r="D24" i="8" s="1"/>
  <c r="E23" i="10"/>
  <c r="E21" i="10"/>
  <c r="H23" i="10"/>
  <c r="H21" i="10"/>
  <c r="I7" i="8"/>
  <c r="C14" i="8"/>
  <c r="D14" i="8" s="1"/>
  <c r="M7" i="8"/>
  <c r="N7" i="8" s="1"/>
  <c r="D22" i="8" s="1"/>
  <c r="G27" i="10" l="1"/>
  <c r="G28" i="10" s="1"/>
  <c r="F27" i="10"/>
  <c r="F28" i="10" s="1"/>
  <c r="H27" i="10"/>
  <c r="H28" i="10" s="1"/>
  <c r="E27" i="10"/>
  <c r="E28" i="10" s="1"/>
  <c r="I14" i="8"/>
  <c r="D77" i="15" l="1"/>
  <c r="D75" i="15"/>
  <c r="D79" i="15"/>
  <c r="E79" i="15"/>
  <c r="C75" i="15"/>
  <c r="D76" i="15"/>
  <c r="C77" i="15"/>
  <c r="C79" i="15"/>
  <c r="F76" i="15"/>
  <c r="C76" i="15"/>
  <c r="D73" i="15"/>
  <c r="F6" i="11"/>
  <c r="E73" i="15"/>
  <c r="D74" i="15"/>
  <c r="F79" i="15"/>
  <c r="E77" i="15"/>
  <c r="C73" i="15"/>
  <c r="D6" i="11"/>
  <c r="F75" i="15"/>
  <c r="F4" i="11"/>
  <c r="E75" i="15"/>
  <c r="F5" i="11"/>
  <c r="C6" i="11"/>
  <c r="C5" i="11"/>
  <c r="E76" i="15"/>
  <c r="F73" i="15"/>
  <c r="D78" i="15"/>
  <c r="F77" i="15"/>
  <c r="E4" i="11"/>
  <c r="C74" i="15"/>
  <c r="E5" i="11"/>
  <c r="C78" i="15"/>
  <c r="F74" i="15"/>
  <c r="E74" i="15"/>
  <c r="F78" i="15"/>
  <c r="D4" i="11"/>
  <c r="E78"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tc={92E84611-C969-42AC-AE90-6EB4E4B3B7D3}</author>
  </authors>
  <commentList>
    <comment ref="I40" authorId="0" shapeId="0" xr:uid="{92E84611-C969-42AC-AE90-6EB4E4B3B7D3}">
      <text>
        <t>[Threaded comment]
Your version of Excel allows you to read this threaded comment; however, any edits to it will get removed if the file is opened in a newer version of Excel. Learn more: https://go.microsoft.com/fwlink/?linkid=870924
Comment:
    It was not switched but expolred</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E98DB9-EAE4-4B30-A7D5-5BC7FC1235C9}" keepAlive="1" name="Query - CURRENT USAGE" description="Connection to the 'CURRENT USAGE' query in the workbook." type="5" refreshedVersion="8" background="1" saveData="1">
    <dbPr connection="Provider=Microsoft.Mashup.OleDb.1;Data Source=$Workbook$;Location=&quot;CURRENT USAGE&quot;;Extended Properties=&quot;&quot;" command="SELECT * FROM [CURRENT USAGE]"/>
  </connection>
  <connection id="2" xr16:uid="{B05D310E-0707-4711-9C1C-C4FE07BFAA56}" keepAlive="1" name="Query - EVER USED" description="Connection to the 'EVER USED' query in the workbook." type="5" refreshedVersion="8" background="1" saveData="1">
    <dbPr connection="Provider=Microsoft.Mashup.OleDb.1;Data Source=$Workbook$;Location=&quot;EVER USED&quot;;Extended Properties=&quot;&quot;" command="SELECT * FROM [EVER USED]"/>
  </connection>
  <connection id="3" xr16:uid="{3049AB48-2273-427D-9846-C5084C930DD6}" keepAlive="1" name="Query - IMAGERY" description="Connection to the 'IMAGERY' query in the workbook." type="5" refreshedVersion="8" background="1" saveData="1">
    <dbPr connection="Provider=Microsoft.Mashup.OleDb.1;Data Source=$Workbook$;Location=IMAGERY;Extended Properties=&quot;&quot;" command="SELECT * FROM [IMAGERY]"/>
  </connection>
  <connection id="4" xr16:uid="{E0A27B47-6E74-47CE-9C28-39A3F3674549}" keepAlive="1" name="Query - original" description="Connection to the 'original' query in the workbook." type="5" refreshedVersion="8" background="1" saveData="1">
    <dbPr connection="Provider=Microsoft.Mashup.OleDb.1;Data Source=$Workbook$;Location=original;Extended Properties=&quot;&quot;" command="SELECT * FROM [original]"/>
  </connection>
  <connection id="5" xr16:uid="{873CAFDB-170E-46CA-8488-4427F4146B12}" keepAlive="1" name="Query - Reason_to_switch" description="Connection to the 'Reason_to_switch' query in the workbook." type="5" refreshedVersion="8" background="1" saveData="1">
    <dbPr connection="Provider=Microsoft.Mashup.OleDb.1;Data Source=$Workbook$;Location=Reason_to_switch;Extended Properties=&quot;&quot;" command="SELECT * FROM [Reason_to_switch]"/>
  </connection>
  <connection id="6" xr16:uid="{51725169-3E95-4081-A622-E7D2E1F9D80A}" keepAlive="1" name="Query - SINGLE_RESPONSES" description="Connection to the 'SINGLE_RESPONSES' query in the workbook." type="5" refreshedVersion="8" background="1" saveData="1">
    <dbPr connection="Provider=Microsoft.Mashup.OleDb.1;Data Source=$Workbook$;Location=SINGLE_RESPONSES;Extended Properties=&quot;&quot;" command="SELECT * FROM [SINGLE_RESPONSES]"/>
  </connection>
  <connection id="7" xr16:uid="{F5866FCE-A25C-4DEC-B374-65B4732FAFEB}" keepAlive="1" name="Query - Table10" description="Connection to the 'Table10' query in the workbook." type="5" refreshedVersion="8" background="1" saveData="1">
    <dbPr connection="Provider=Microsoft.Mashup.OleDb.1;Data Source=$Workbook$;Location=Table10;Extended Properties=&quot;&quot;" command="SELECT * FROM [Table10]"/>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<sst xmlns="http://schemas.openxmlformats.org/spreadsheetml/2006/main" count="15101" uniqueCount="836">
  <si>
    <t>Timestamp</t>
  </si>
  <si>
    <r>
      <rPr>
        <b/>
        <sz val="10"/>
        <color theme="1"/>
        <rFont val="Arial"/>
        <family val="2"/>
      </rPr>
      <t>Respondent Profile:</t>
    </r>
    <r>
      <rPr>
        <sz val="10"/>
        <color theme="1"/>
        <rFont val="Arial"/>
        <family val="2"/>
      </rPr>
      <t xml:space="preserve">
Name</t>
    </r>
  </si>
  <si>
    <t>Gender</t>
  </si>
  <si>
    <t>What is your age group?</t>
  </si>
  <si>
    <t>What is your current city of residence?</t>
  </si>
  <si>
    <t>TOM</t>
  </si>
  <si>
    <t>EVER USED</t>
  </si>
  <si>
    <t>CURRENT USAGE</t>
  </si>
  <si>
    <t>FAVORITE</t>
  </si>
  <si>
    <t>2.4) For how long have you been using your PRIMARY digital payment app?</t>
  </si>
  <si>
    <r>
      <rPr>
        <b/>
        <sz val="10"/>
        <color theme="1"/>
        <rFont val="Arial"/>
        <family val="2"/>
      </rPr>
      <t xml:space="preserve">2.5) What was the app name (most used before switching to the current PRIMARY app)? </t>
    </r>
    <r>
      <rPr>
        <sz val="10"/>
        <color theme="1"/>
        <rFont val="Arial"/>
        <family val="2"/>
      </rPr>
      <t>Please select an app DIFFERENT from your current primary app.</t>
    </r>
  </si>
  <si>
    <t>2.6) What were the reasons for you to switch to your current primary app</t>
  </si>
  <si>
    <t xml:space="preserve">2.7) Do you plan to keep using this app in future as well?
</t>
  </si>
  <si>
    <t>2.8) For what reasons do you prefer to keep using this app?</t>
  </si>
  <si>
    <t xml:space="preserve">2.9) Based on your PRIMARY digital payment app, how likely is it for you to recommend the brand to your family, friends, and relatives? </t>
  </si>
  <si>
    <t xml:space="preserve">3.1) Suppose the apps you are currently using were not available; which other app, if any, would you consider? </t>
  </si>
  <si>
    <t>Best app interface and user experience (UX)</t>
  </si>
  <si>
    <t>Most reliable (least likely to have server/network down issues)</t>
  </si>
  <si>
    <t>Offers the best discounts, deals, and cashbacks</t>
  </si>
  <si>
    <t>Good customer service and quick issue resolution</t>
  </si>
  <si>
    <t>Lowest transaction fees and free inter-bank fund transfers (IBFT)</t>
  </si>
  <si>
    <t>Strongest security features</t>
  </si>
  <si>
    <t>Easiest and fastest process for opening an account or ordering a physical debit card</t>
  </si>
  <si>
    <t>Best app for international payments</t>
  </si>
  <si>
    <t>5.1) Have you seen the advertisement above on TV recently or not?</t>
  </si>
  <si>
    <t>5.2 ) What digital payment app was this ad for?</t>
  </si>
  <si>
    <r>
      <rPr>
        <b/>
        <sz val="10"/>
        <color theme="1"/>
        <rFont val="Arial"/>
        <family val="2"/>
      </rPr>
      <t xml:space="preserve">5.3) In your own words, what was the main message of this ad? </t>
    </r>
    <r>
      <rPr>
        <b/>
        <i/>
        <sz val="10"/>
        <color theme="1"/>
        <rFont val="Arial"/>
        <family val="2"/>
      </rPr>
      <t>(Please be specific; avoid general answers like 'it is a good app.'</t>
    </r>
  </si>
  <si>
    <t>5.4) To what extent did you like this ad?</t>
  </si>
  <si>
    <t>Gulfam</t>
  </si>
  <si>
    <t>Male</t>
  </si>
  <si>
    <t>36-45</t>
  </si>
  <si>
    <t>Lahore</t>
  </si>
  <si>
    <t>easypaisa</t>
  </si>
  <si>
    <t>JazzCash, Easypaisa, Sadapay</t>
  </si>
  <si>
    <t>Easypaisa</t>
  </si>
  <si>
    <t>Easypais</t>
  </si>
  <si>
    <t>18-24 months</t>
  </si>
  <si>
    <t>Sadapay</t>
  </si>
  <si>
    <t>account blockage and trust issues</t>
  </si>
  <si>
    <t>Yes</t>
  </si>
  <si>
    <t>easier to manage small transactions and payments like payment of bills etc</t>
  </si>
  <si>
    <t>Jazz cash</t>
  </si>
  <si>
    <t>Jazz Cash</t>
  </si>
  <si>
    <t>No</t>
  </si>
  <si>
    <t>have not seen this ad</t>
  </si>
  <si>
    <t>waleed</t>
  </si>
  <si>
    <t>18 - 29</t>
  </si>
  <si>
    <t>9-12 months</t>
  </si>
  <si>
    <t xml:space="preserve">All government platforms related payments can be initiate under one platform with best user experience </t>
  </si>
  <si>
    <t xml:space="preserve">Best user interface and user experience </t>
  </si>
  <si>
    <t>Zindagi</t>
  </si>
  <si>
    <t xml:space="preserve">You can transfer money from anywhere in your easy paisa account and it'll be transferred in your account immediately without any disruption </t>
  </si>
  <si>
    <t>Talha</t>
  </si>
  <si>
    <t xml:space="preserve">Easy to assess </t>
  </si>
  <si>
    <t>Meezan</t>
  </si>
  <si>
    <t>Nayapay</t>
  </si>
  <si>
    <t xml:space="preserve">Easy to transfer </t>
  </si>
  <si>
    <t xml:space="preserve">Jawad Waseem </t>
  </si>
  <si>
    <t xml:space="preserve">Easypaisa </t>
  </si>
  <si>
    <t>Jazzcash, Easypaisa, Nayapay</t>
  </si>
  <si>
    <t>More than 2 years</t>
  </si>
  <si>
    <t>NAYAPAY</t>
  </si>
  <si>
    <t xml:space="preserve">More options </t>
  </si>
  <si>
    <t xml:space="preserve">Connectivity and </t>
  </si>
  <si>
    <t>Easy transfer</t>
  </si>
  <si>
    <t xml:space="preserve">Abdullah </t>
  </si>
  <si>
    <t>Jazzcash, Easypaisa, Sadapay, Nayapay</t>
  </si>
  <si>
    <t xml:space="preserve">Bad service </t>
  </si>
  <si>
    <t xml:space="preserve">Fast service </t>
  </si>
  <si>
    <t xml:space="preserve">Make digital wallet for small transactions </t>
  </si>
  <si>
    <t>Muhammad saad ahmad</t>
  </si>
  <si>
    <t>Jazzcash</t>
  </si>
  <si>
    <t>13-18 months</t>
  </si>
  <si>
    <t xml:space="preserve">Wasn't reliable </t>
  </si>
  <si>
    <t xml:space="preserve">Easy to use </t>
  </si>
  <si>
    <t>I have not seen this ad</t>
  </si>
  <si>
    <t xml:space="preserve"> That the transfer of money can be made remotely and easily </t>
  </si>
  <si>
    <t>Mubashir hassan</t>
  </si>
  <si>
    <t>Jazz cash, Easypaisa</t>
  </si>
  <si>
    <t xml:space="preserve">User experience </t>
  </si>
  <si>
    <t xml:space="preserve">User experience and user interface </t>
  </si>
  <si>
    <t>Banking app like UBL cuz sadapay and nayapay are third party apps</t>
  </si>
  <si>
    <t>They communicate. With customers...</t>
  </si>
  <si>
    <t>Ayesha</t>
  </si>
  <si>
    <t>Female</t>
  </si>
  <si>
    <t>Jazzcash, Sadapay, Nayapay</t>
  </si>
  <si>
    <t>Jazz cash, Nayapay</t>
  </si>
  <si>
    <t>It's secure and easy to use.</t>
  </si>
  <si>
    <t>It's easy to use.</t>
  </si>
  <si>
    <t>Maybe</t>
  </si>
  <si>
    <t xml:space="preserve">Digital wallet apps awareness </t>
  </si>
  <si>
    <t>Kainat</t>
  </si>
  <si>
    <t>JazzCash</t>
  </si>
  <si>
    <t>Jazzcash, Sadapay</t>
  </si>
  <si>
    <t>I didn't switch</t>
  </si>
  <si>
    <t xml:space="preserve">Easily manageable and reliable </t>
  </si>
  <si>
    <t>Bank Account App</t>
  </si>
  <si>
    <t>I haven't seen this ad</t>
  </si>
  <si>
    <t xml:space="preserve">Muhammad Danish Zafar </t>
  </si>
  <si>
    <t>Sada pay</t>
  </si>
  <si>
    <t>Jazz cash, Easypaisa, Sadapay</t>
  </si>
  <si>
    <t xml:space="preserve">Most of the time servers down </t>
  </si>
  <si>
    <t xml:space="preserve">International transactions </t>
  </si>
  <si>
    <t xml:space="preserve">Payment transfer </t>
  </si>
  <si>
    <t>Hassan Jehangir</t>
  </si>
  <si>
    <t>Jazzcash, Nayapay</t>
  </si>
  <si>
    <t>Easy to transfer money instantly</t>
  </si>
  <si>
    <t>Instant money transfer and good UI</t>
  </si>
  <si>
    <t>No idea</t>
  </si>
  <si>
    <t>Rayyan Amin</t>
  </si>
  <si>
    <t>Better services</t>
  </si>
  <si>
    <t>Easy transactions</t>
  </si>
  <si>
    <t>Cheap and easy</t>
  </si>
  <si>
    <t>Arslan Nawaz</t>
  </si>
  <si>
    <t>Easypaisa, Nayapay</t>
  </si>
  <si>
    <t>Due to More Features and International transactions features</t>
  </si>
  <si>
    <t>Easy Access to International Transactions</t>
  </si>
  <si>
    <t>Mashreeq</t>
  </si>
  <si>
    <t>I think it was simple msg shifting for physical money to digital currency through these digital apps.</t>
  </si>
  <si>
    <t>Hamza</t>
  </si>
  <si>
    <t>Jazzcash, Easypaisa, Sadapay</t>
  </si>
  <si>
    <t>Sada pay account ban</t>
  </si>
  <si>
    <t xml:space="preserve">On other reasons </t>
  </si>
  <si>
    <t>Bank apps</t>
  </si>
  <si>
    <t xml:space="preserve">Good but I can’t see </t>
  </si>
  <si>
    <t>Mona Amir</t>
  </si>
  <si>
    <t>42 -53</t>
  </si>
  <si>
    <t>Jazzcash, Easypaisa</t>
  </si>
  <si>
    <t xml:space="preserve">Easy to use and login </t>
  </si>
  <si>
    <t>Easy to go</t>
  </si>
  <si>
    <t xml:space="preserve">Don't know </t>
  </si>
  <si>
    <t>Ab</t>
  </si>
  <si>
    <t>Easy to use</t>
  </si>
  <si>
    <t>Sadapay issue these days</t>
  </si>
  <si>
    <t>To permote the usage of this app</t>
  </si>
  <si>
    <t>Hafiz Jawad</t>
  </si>
  <si>
    <t>Jazz cash, Easypaisa, Nayapay</t>
  </si>
  <si>
    <t>EasyPaisa PIN was compromised</t>
  </si>
  <si>
    <t>User friendly. Used by most local people, so easy cash transfer</t>
  </si>
  <si>
    <t>Banking apps if all not available</t>
  </si>
  <si>
    <t>Not seen the ad</t>
  </si>
  <si>
    <t>Adan Ahmad</t>
  </si>
  <si>
    <t>Easypaisa, Sadapay</t>
  </si>
  <si>
    <t xml:space="preserve">No particular reason </t>
  </si>
  <si>
    <t xml:space="preserve">I’m used to it </t>
  </si>
  <si>
    <t xml:space="preserve">I don’t remember </t>
  </si>
  <si>
    <t>..</t>
  </si>
  <si>
    <t>Gujranwala</t>
  </si>
  <si>
    <t>Jazz cash, Easypaisa, Sadapay, Nayapay</t>
  </si>
  <si>
    <t>😬</t>
  </si>
  <si>
    <t>The main reason is jazzcash loan😬</t>
  </si>
  <si>
    <t>Duniya Pay</t>
  </si>
  <si>
    <t>🏳️‍🌈</t>
  </si>
  <si>
    <t xml:space="preserve">Imtisaal </t>
  </si>
  <si>
    <t xml:space="preserve">Jazzcash </t>
  </si>
  <si>
    <t xml:space="preserve">Can do it with ubl digital account </t>
  </si>
  <si>
    <t xml:space="preserve">Convenience </t>
  </si>
  <si>
    <t xml:space="preserve">It allowed a new and easy method to transfer money in case of 🏧 not working </t>
  </si>
  <si>
    <t xml:space="preserve">Rana Hassaan </t>
  </si>
  <si>
    <t xml:space="preserve">Faisalabad </t>
  </si>
  <si>
    <t xml:space="preserve">Jazz cash </t>
  </si>
  <si>
    <t>Jazz cash, Sadapay, Nayapay</t>
  </si>
  <si>
    <t xml:space="preserve">To manage international payments I prefer sada pay </t>
  </si>
  <si>
    <t xml:space="preserve">Easy access and user friendly </t>
  </si>
  <si>
    <t xml:space="preserve">Shoaib Ahmad </t>
  </si>
  <si>
    <t>Okara</t>
  </si>
  <si>
    <t xml:space="preserve">Mostly use jazzcash </t>
  </si>
  <si>
    <t xml:space="preserve">More preferable </t>
  </si>
  <si>
    <t>DAC</t>
  </si>
  <si>
    <t xml:space="preserve"> </t>
  </si>
  <si>
    <t xml:space="preserve">Bcz of its user friendly </t>
  </si>
  <si>
    <t>the convenience of online money transfer for festive gifts</t>
  </si>
  <si>
    <t>Momin Ali</t>
  </si>
  <si>
    <t>Gujrat</t>
  </si>
  <si>
    <t>Na</t>
  </si>
  <si>
    <t xml:space="preserve">Availability </t>
  </si>
  <si>
    <t>Dont remember much but i believe related to family n internet</t>
  </si>
  <si>
    <t>Iqra</t>
  </si>
  <si>
    <t>No change</t>
  </si>
  <si>
    <t>It good</t>
  </si>
  <si>
    <t>No messs7</t>
  </si>
  <si>
    <t>Amna</t>
  </si>
  <si>
    <t>Jazzcash.</t>
  </si>
  <si>
    <t>Using it for the first time.</t>
  </si>
  <si>
    <t>Easy.</t>
  </si>
  <si>
    <t xml:space="preserve">Faster money transfer </t>
  </si>
  <si>
    <t>Laiba</t>
  </si>
  <si>
    <t>Idk</t>
  </si>
  <si>
    <t>Again idk, just using it.</t>
  </si>
  <si>
    <t>This should not be a required question.</t>
  </si>
  <si>
    <t>Haider shah</t>
  </si>
  <si>
    <t>Easy paisa</t>
  </si>
  <si>
    <t xml:space="preserve">Easypaisa is more essential </t>
  </si>
  <si>
    <t>Its safe</t>
  </si>
  <si>
    <t xml:space="preserve">For forcing people to trust online platform </t>
  </si>
  <si>
    <t xml:space="preserve">Meerab Arshad </t>
  </si>
  <si>
    <t xml:space="preserve">Raiwind </t>
  </si>
  <si>
    <t>1-4 months</t>
  </si>
  <si>
    <t xml:space="preserve">It's very helpful </t>
  </si>
  <si>
    <t>Muhammad Ziad Amir</t>
  </si>
  <si>
    <t xml:space="preserve">App errors </t>
  </si>
  <si>
    <t>Reliability</t>
  </si>
  <si>
    <t xml:space="preserve">Convinient for eidi transaction to your relatives </t>
  </si>
  <si>
    <t>Amina</t>
  </si>
  <si>
    <t>30 - 41</t>
  </si>
  <si>
    <t>Today requirement in this digital world</t>
  </si>
  <si>
    <t xml:space="preserve">One of the easy and fine way to send money around everywhere </t>
  </si>
  <si>
    <t xml:space="preserve">My own wallet </t>
  </si>
  <si>
    <t>Not seen this ad</t>
  </si>
  <si>
    <t xml:space="preserve">Kanza </t>
  </si>
  <si>
    <t xml:space="preserve">Sadapay </t>
  </si>
  <si>
    <t xml:space="preserve">I trust Sadapay better maybe cuz its not run locally </t>
  </si>
  <si>
    <t>Convenience.. registering/ opening account in Sadapay was easy</t>
  </si>
  <si>
    <t>None</t>
  </si>
  <si>
    <t>Accessibility, inclusivity</t>
  </si>
  <si>
    <t xml:space="preserve">Rana Ali Hassan </t>
  </si>
  <si>
    <t>5-8 months</t>
  </si>
  <si>
    <t xml:space="preserve">Sometimes payment stuck and also some error are happened </t>
  </si>
  <si>
    <t>It's used is simple, easy and safe</t>
  </si>
  <si>
    <t xml:space="preserve">To y
Used digital app for payments </t>
  </si>
  <si>
    <t xml:space="preserve">amber </t>
  </si>
  <si>
    <t xml:space="preserve">JazzCash </t>
  </si>
  <si>
    <t xml:space="preserve">jazzcash is easy to use and am used to it now </t>
  </si>
  <si>
    <t xml:space="preserve">for emergency if i need money to transfer anytime or anyone wants to return back my money </t>
  </si>
  <si>
    <t>as everyone is using that app so transferred to their specific app through sadapay</t>
  </si>
  <si>
    <t xml:space="preserve">Naseer Ahmad </t>
  </si>
  <si>
    <t xml:space="preserve">Jhang </t>
  </si>
  <si>
    <t xml:space="preserve">For service issues </t>
  </si>
  <si>
    <t xml:space="preserve">For good service </t>
  </si>
  <si>
    <t xml:space="preserve">It means this app is trustable and having fast service </t>
  </si>
  <si>
    <t xml:space="preserve">Mahnoor </t>
  </si>
  <si>
    <t>Is it good for myself and working fastly</t>
  </si>
  <si>
    <t xml:space="preserve">To provide great service and advertising </t>
  </si>
  <si>
    <t>Abdul hafeez</t>
  </si>
  <si>
    <t xml:space="preserve">Sadiqabad </t>
  </si>
  <si>
    <t>Its easy to me</t>
  </si>
  <si>
    <t xml:space="preserve">Yes </t>
  </si>
  <si>
    <t xml:space="preserve">Not meaningful </t>
  </si>
  <si>
    <t>Amna Zohaib</t>
  </si>
  <si>
    <t xml:space="preserve">It's convenient for me </t>
  </si>
  <si>
    <t xml:space="preserve">Not any big reason just easy to use this app </t>
  </si>
  <si>
    <t>Yess</t>
  </si>
  <si>
    <t xml:space="preserve">Sania </t>
  </si>
  <si>
    <t xml:space="preserve">Nayapay </t>
  </si>
  <si>
    <t xml:space="preserve">Didn’t switch </t>
  </si>
  <si>
    <t xml:space="preserve">Easy to use for everyone </t>
  </si>
  <si>
    <t>Hozaifa Rashid</t>
  </si>
  <si>
    <t>NayaPay</t>
  </si>
  <si>
    <t xml:space="preserve">Smooth UI </t>
  </si>
  <si>
    <t>Smooth Interface and Easy Digital Banking</t>
  </si>
  <si>
    <t>Easy transferring of cash/eidi to your loved ones</t>
  </si>
  <si>
    <t xml:space="preserve">Ayesha </t>
  </si>
  <si>
    <t xml:space="preserve">I didn't use any other app before </t>
  </si>
  <si>
    <t xml:space="preserve">Easy </t>
  </si>
  <si>
    <t xml:space="preserve">Transfer is easy using this app from any region </t>
  </si>
  <si>
    <t>Muhammed Abdullah</t>
  </si>
  <si>
    <t xml:space="preserve">Better banking facilities and features </t>
  </si>
  <si>
    <t xml:space="preserve">Better features and facilities </t>
  </si>
  <si>
    <t xml:space="preserve">To send eidi </t>
  </si>
  <si>
    <t>Muhammad Tayyab</t>
  </si>
  <si>
    <t xml:space="preserve">Nothing </t>
  </si>
  <si>
    <t xml:space="preserve">Easy to use or pay </t>
  </si>
  <si>
    <t>No cash no problem. You can easily transfer your money anywhere and anytime</t>
  </si>
  <si>
    <t>Zohaib javaid</t>
  </si>
  <si>
    <t>No specific reason</t>
  </si>
  <si>
    <t>Its more realibe</t>
  </si>
  <si>
    <t xml:space="preserve">I have no idea
</t>
  </si>
  <si>
    <t xml:space="preserve">Aroona </t>
  </si>
  <si>
    <t xml:space="preserve">Easy paisa </t>
  </si>
  <si>
    <t xml:space="preserve">Sometime app not responding </t>
  </si>
  <si>
    <t xml:space="preserve">I m use to of this app too much </t>
  </si>
  <si>
    <t>I haven't seen bcz I didn't watch tv</t>
  </si>
  <si>
    <t>Quickest</t>
  </si>
  <si>
    <t>Availability allover</t>
  </si>
  <si>
    <t>MCB LIVE</t>
  </si>
  <si>
    <t>Discussion about eidi</t>
  </si>
  <si>
    <t>Dawood humayuon</t>
  </si>
  <si>
    <t>Easy payment method / transaction</t>
  </si>
  <si>
    <t>Privacy policy</t>
  </si>
  <si>
    <t>Make it short video not long</t>
  </si>
  <si>
    <t>Muhammad Afzal Faheem</t>
  </si>
  <si>
    <t>Eaisypaisa</t>
  </si>
  <si>
    <t xml:space="preserve">The make the payment process more convenient </t>
  </si>
  <si>
    <t>User-friendly, reliable, and time-saving</t>
  </si>
  <si>
    <t>To switch to digital platform for transactions</t>
  </si>
  <si>
    <t xml:space="preserve">Muhammad Mohsin Akram </t>
  </si>
  <si>
    <t>No extra features in this app</t>
  </si>
  <si>
    <t xml:space="preserve">Very good and attractive </t>
  </si>
  <si>
    <t xml:space="preserve">Zindagi </t>
  </si>
  <si>
    <t xml:space="preserve">Aliza khan </t>
  </si>
  <si>
    <t xml:space="preserve">No specific reason </t>
  </si>
  <si>
    <t xml:space="preserve">It’s easy to use </t>
  </si>
  <si>
    <t xml:space="preserve">Don’t remember </t>
  </si>
  <si>
    <t>Ikram mir</t>
  </si>
  <si>
    <t>Extra use</t>
  </si>
  <si>
    <t xml:space="preserve">Easy transfer </t>
  </si>
  <si>
    <t>Money transfer</t>
  </si>
  <si>
    <t xml:space="preserve">Service </t>
  </si>
  <si>
    <t>Bank</t>
  </si>
  <si>
    <t xml:space="preserve">Easy to transfer and it’s fast </t>
  </si>
  <si>
    <t>jk</t>
  </si>
  <si>
    <t>jazzcash, zindigi, easypaisa,sadapay</t>
  </si>
  <si>
    <t>Jazz cash, Sadapay</t>
  </si>
  <si>
    <t>UI</t>
  </si>
  <si>
    <t>use kerny me easy hai</t>
  </si>
  <si>
    <t>Promoting easypaisa app</t>
  </si>
  <si>
    <t>Nasreen</t>
  </si>
  <si>
    <t>Easypaissa</t>
  </si>
  <si>
    <t xml:space="preserve">Hight security </t>
  </si>
  <si>
    <t>Service</t>
  </si>
  <si>
    <t>Easy to use and safe for all transfers</t>
  </si>
  <si>
    <t xml:space="preserve">Ashraf Ali </t>
  </si>
  <si>
    <t>66 and above</t>
  </si>
  <si>
    <t>N A</t>
  </si>
  <si>
    <t xml:space="preserve">More common </t>
  </si>
  <si>
    <t>Ramsha Ashfaq</t>
  </si>
  <si>
    <t>Less than 1 month</t>
  </si>
  <si>
    <t>Meezan bank</t>
  </si>
  <si>
    <t xml:space="preserve">That it’s easy to transfer money </t>
  </si>
  <si>
    <t>Arfa</t>
  </si>
  <si>
    <t>Better application and process</t>
  </si>
  <si>
    <t>Its good to even pay internationally for like e.g netflix</t>
  </si>
  <si>
    <t>I haven’t seen the ad</t>
  </si>
  <si>
    <t>Raheel</t>
  </si>
  <si>
    <t>Naya pay</t>
  </si>
  <si>
    <t>Rdx</t>
  </si>
  <si>
    <t xml:space="preserve">Best </t>
  </si>
  <si>
    <t>Rdx truck</t>
  </si>
  <si>
    <t>Hina Shabbir</t>
  </si>
  <si>
    <t>jazzcash</t>
  </si>
  <si>
    <t>Transaction Problem</t>
  </si>
  <si>
    <t>no</t>
  </si>
  <si>
    <t>The ad’s main message is that giving Eidi is no longer limited by having cash in hand. It shows that through the app, you can quickly and conveniently send Eidi online, making it easier to stay connected and celebrate special moments even when cash isn’t available.</t>
  </si>
  <si>
    <t>Noor</t>
  </si>
  <si>
    <t>Needed more limit</t>
  </si>
  <si>
    <t>Its fast and good</t>
  </si>
  <si>
    <t>Its very eyecatchy</t>
  </si>
  <si>
    <t>tahir kazmi</t>
  </si>
  <si>
    <t>Jazzcash easypaisa</t>
  </si>
  <si>
    <t>bill payment</t>
  </si>
  <si>
    <t>Experince</t>
  </si>
  <si>
    <t>Nil</t>
  </si>
  <si>
    <t>M. Zain Azhar</t>
  </si>
  <si>
    <t>No reason juat depends on my wish</t>
  </si>
  <si>
    <t>UI is ao responsive and clear to use</t>
  </si>
  <si>
    <t xml:space="preserve">Excellent </t>
  </si>
  <si>
    <t>Transaction problem</t>
  </si>
  <si>
    <t xml:space="preserve">For many reason not only one </t>
  </si>
  <si>
    <t xml:space="preserve">Perfect app for send money </t>
  </si>
  <si>
    <t>Mohammed</t>
  </si>
  <si>
    <t>Karachi</t>
  </si>
  <si>
    <t>the app design</t>
  </si>
  <si>
    <t xml:space="preserve">simple and easy use </t>
  </si>
  <si>
    <t>hawara i hob de gschissene werbung ned gseng</t>
  </si>
  <si>
    <t>Faizan Abbas</t>
  </si>
  <si>
    <t xml:space="preserve">Better performance </t>
  </si>
  <si>
    <t>I dont know</t>
  </si>
  <si>
    <t>Flynn</t>
  </si>
  <si>
    <t>better ui, better customer experience</t>
  </si>
  <si>
    <t>it does what it needs to do</t>
  </si>
  <si>
    <t>it is a good app</t>
  </si>
  <si>
    <t xml:space="preserve">Shahwaiz Niazi </t>
  </si>
  <si>
    <t xml:space="preserve">Efficient services </t>
  </si>
  <si>
    <t>Good services</t>
  </si>
  <si>
    <t xml:space="preserve">Speedy services </t>
  </si>
  <si>
    <t>muneeb ahmed</t>
  </si>
  <si>
    <t>jazzcash, easypaisa, nayapay, zindigi</t>
  </si>
  <si>
    <t>jazzcash account ban</t>
  </si>
  <si>
    <t>foreign payments</t>
  </si>
  <si>
    <t>nayapay</t>
  </si>
  <si>
    <t>dont know exactly</t>
  </si>
  <si>
    <t>Muhammad Adil Ahmef</t>
  </si>
  <si>
    <t>It was my first digi wallet</t>
  </si>
  <si>
    <t>There’s no such use of this its just sitting idle with my name i m using my other bank accounts</t>
  </si>
  <si>
    <t>It was about sending eidi to your loved who are far from you</t>
  </si>
  <si>
    <t>Haider Ali</t>
  </si>
  <si>
    <t>Some transaction issues</t>
  </si>
  <si>
    <t>Brand loyalty</t>
  </si>
  <si>
    <t>I cannot answer beacuse i have not seen any of these</t>
  </si>
  <si>
    <t>Amanat Jahangir</t>
  </si>
  <si>
    <t>I never switched</t>
  </si>
  <si>
    <t>For all online transaction</t>
  </si>
  <si>
    <t>A app that is reliable for transaction</t>
  </si>
  <si>
    <t>Hasan Butt</t>
  </si>
  <si>
    <t>Jazzcash, easy paisa, sada pay and naya pay</t>
  </si>
  <si>
    <t>Easier UI</t>
  </si>
  <si>
    <t>Easier UI.</t>
  </si>
  <si>
    <t xml:space="preserve">Money can be digital. </t>
  </si>
  <si>
    <t>ch hammad</t>
  </si>
  <si>
    <t>Islamabad</t>
  </si>
  <si>
    <t>Nayapay, sadapay</t>
  </si>
  <si>
    <t>Sadapay, Nayapay</t>
  </si>
  <si>
    <t>using in parallel</t>
  </si>
  <si>
    <t>availability</t>
  </si>
  <si>
    <t>HBL</t>
  </si>
  <si>
    <t>may be promoting digital payment</t>
  </si>
  <si>
    <t xml:space="preserve">Chand Ashraf </t>
  </si>
  <si>
    <t>There is no helpline number of sadapay</t>
  </si>
  <si>
    <t xml:space="preserve">Never use </t>
  </si>
  <si>
    <t>Allied bank online app</t>
  </si>
  <si>
    <t>Eidi transfer app</t>
  </si>
  <si>
    <t>Fahad Khawar</t>
  </si>
  <si>
    <t xml:space="preserve">User friendly interface </t>
  </si>
  <si>
    <t>use it to transfer eidi conveniently?</t>
  </si>
  <si>
    <t>Haroon Arif</t>
  </si>
  <si>
    <t xml:space="preserve">sadapay </t>
  </si>
  <si>
    <t>Some quality issues</t>
  </si>
  <si>
    <t>For better customer support</t>
  </si>
  <si>
    <t>I dont see this ad</t>
  </si>
  <si>
    <t>Hanan</t>
  </si>
  <si>
    <t xml:space="preserve">I am not switching right now </t>
  </si>
  <si>
    <t xml:space="preserve">Jazz network </t>
  </si>
  <si>
    <t xml:space="preserve">Awareness </t>
  </si>
  <si>
    <t>Maham</t>
  </si>
  <si>
    <t xml:space="preserve">Bank account </t>
  </si>
  <si>
    <t>Service of app is good</t>
  </si>
  <si>
    <t>Mohammad Rameel waseem</t>
  </si>
  <si>
    <t>JazzCash has a simple and user-friendly interface, making transactions quick and easy.</t>
  </si>
  <si>
    <t>It allows me to send and receive money anytime without visiting a bank.</t>
  </si>
  <si>
    <t xml:space="preserve">Online transfer </t>
  </si>
  <si>
    <t>Ayesha Ahmed</t>
  </si>
  <si>
    <t>Nayapay, Easypaisa</t>
  </si>
  <si>
    <t>Some issues</t>
  </si>
  <si>
    <t>Execllent app</t>
  </si>
  <si>
    <t xml:space="preserve">I dont know </t>
  </si>
  <si>
    <t>Saad</t>
  </si>
  <si>
    <t>Las vegas</t>
  </si>
  <si>
    <t>Mashreq</t>
  </si>
  <si>
    <t>Better mobile app service</t>
  </si>
  <si>
    <t xml:space="preserve">I don't have any issues or complains with this app </t>
  </si>
  <si>
    <t>Ali Abbas</t>
  </si>
  <si>
    <t>Primary wallet</t>
  </si>
  <si>
    <t>It has all facilities</t>
  </si>
  <si>
    <t>Easy money transfer no matter where you are</t>
  </si>
  <si>
    <t>Hassan</t>
  </si>
  <si>
    <t>Faisalabad</t>
  </si>
  <si>
    <t>Don't know</t>
  </si>
  <si>
    <t>Dr. Ata Ul Musawir</t>
  </si>
  <si>
    <t>User-friendly UI, app speed</t>
  </si>
  <si>
    <t>User-friendly UI, app speed &amp; having a digital wallet payment option</t>
  </si>
  <si>
    <t>Don't watch ads or TV</t>
  </si>
  <si>
    <t>Zoha ashfaq</t>
  </si>
  <si>
    <t>Wese hi</t>
  </si>
  <si>
    <t>Lame</t>
  </si>
  <si>
    <t xml:space="preserve">noor fatima </t>
  </si>
  <si>
    <t xml:space="preserve">nayapay </t>
  </si>
  <si>
    <t>I did not switch to another app because I am satisfied with my current primary app. It is easy to use, reliable, and meets all my needs. I feel comfortable using it, so I don’t see any strong reason to switch.</t>
  </si>
  <si>
    <t xml:space="preserve"> I am satisfied with my current primary app. It is easy to use, reliable, and meets all my needs. I feel comfortable using it, so I don’t see any strong reason to switch.</t>
  </si>
  <si>
    <t>other</t>
  </si>
  <si>
    <t xml:space="preserve">its is easy , fast </t>
  </si>
  <si>
    <t>Ahmer Amin</t>
  </si>
  <si>
    <t>HBL, Jazzcash, easypaisa</t>
  </si>
  <si>
    <t>alternative app</t>
  </si>
  <si>
    <t>need of the hour</t>
  </si>
  <si>
    <t>not warched this ad</t>
  </si>
  <si>
    <t>Minahil shahbaz</t>
  </si>
  <si>
    <t xml:space="preserve">I am not currently using any  but I am aware of JazzCash and Easypaisa.”  </t>
  </si>
  <si>
    <t>Reason for switching</t>
  </si>
  <si>
    <t>I am nit using this app so don't asked to prefer</t>
  </si>
  <si>
    <t>Easypaisa transfer money very easily i think so</t>
  </si>
  <si>
    <t>Ruttaba Ashraf</t>
  </si>
  <si>
    <t>Easypaisa, Sadapay, Nayapay</t>
  </si>
  <si>
    <t>Nayapay have more features than easypaisa</t>
  </si>
  <si>
    <t xml:space="preserve">Nayapay Have Various Features and specifications </t>
  </si>
  <si>
    <t>If anyone has not handed in cash, they can transfer it no worries at all.</t>
  </si>
  <si>
    <t>Mian Asim</t>
  </si>
  <si>
    <t>Fraud detection</t>
  </si>
  <si>
    <t>Secure</t>
  </si>
  <si>
    <t>not ever seen</t>
  </si>
  <si>
    <t>Hafiz Irtaza Aslam</t>
  </si>
  <si>
    <t>I haven’t switched to any single app. In fact, I use multiple apps because it allows me to handle payments from different wallets, making it easier and more convenient for my clients. This way, there’s no issue in receiving payments.</t>
  </si>
  <si>
    <t>I prefer to keep using these apps because they provide flexibility for my clients. Each client might have a different preferred payment method or wallet, and by using multiple apps, I ensure smooth transactions, reduce friction, and make it as convenient as possible for them.</t>
  </si>
  <si>
    <t>The main message of this ad is that even when traditional cash sources like ATMs aren’t working, you can still easily send or receive Eidi (gift money) through the Eidipaisa mobile wallet. It emphasizes convenience and ensures you never miss out on giving or receiving Eidi, even if physical cash is unavailable.</t>
  </si>
  <si>
    <t>Raheeq Sharif</t>
  </si>
  <si>
    <t>No any charges</t>
  </si>
  <si>
    <t>Online eidi</t>
  </si>
  <si>
    <t>No switch</t>
  </si>
  <si>
    <t xml:space="preserve">Instand payment </t>
  </si>
  <si>
    <t>I don't no</t>
  </si>
  <si>
    <t>esha</t>
  </si>
  <si>
    <t>Never switched</t>
  </si>
  <si>
    <t xml:space="preserve">Can send money to local stores, places easily </t>
  </si>
  <si>
    <t xml:space="preserve">Sending money to your loved ones to make them feel loved and special </t>
  </si>
  <si>
    <t>Ali hussnain</t>
  </si>
  <si>
    <t>Easy transfer and no chances of scam</t>
  </si>
  <si>
    <t>I can use it globally and have a safe payment method</t>
  </si>
  <si>
    <t>To support digital wallets</t>
  </si>
  <si>
    <t>Muhammad Saqib Shoaib</t>
  </si>
  <si>
    <t>Jaaz cash</t>
  </si>
  <si>
    <t>Best Services</t>
  </si>
  <si>
    <t>Muhammad Burhan Ahmad</t>
  </si>
  <si>
    <t>Jazzcash,Bank</t>
  </si>
  <si>
    <t>It is more fast and more trusted and popular</t>
  </si>
  <si>
    <t xml:space="preserve">Haven't seen </t>
  </si>
  <si>
    <t>Abdullah Ahmad</t>
  </si>
  <si>
    <t>This is more convenient</t>
  </si>
  <si>
    <t>It helps when you don't have cash</t>
  </si>
  <si>
    <t>That it helps in emergency</t>
  </si>
  <si>
    <t>Musa</t>
  </si>
  <si>
    <t>Just wanted to change</t>
  </si>
  <si>
    <t>It is easy access</t>
  </si>
  <si>
    <t>To use easypaisa</t>
  </si>
  <si>
    <t xml:space="preserve">HAMZA ABBAS </t>
  </si>
  <si>
    <t xml:space="preserve">Best user interface </t>
  </si>
  <si>
    <t xml:space="preserve">Smart and reliable in making online purchase </t>
  </si>
  <si>
    <t xml:space="preserve">Transfer eidi using easy paisa </t>
  </si>
  <si>
    <t xml:space="preserve">Rao Zubair Abid </t>
  </si>
  <si>
    <t xml:space="preserve">Slow Payment </t>
  </si>
  <si>
    <t xml:space="preserve">Fast Transaction </t>
  </si>
  <si>
    <t xml:space="preserve">Customer Experience </t>
  </si>
  <si>
    <t xml:space="preserve">Muhammad Umair Zia </t>
  </si>
  <si>
    <t>Bad interface</t>
  </si>
  <si>
    <t>It allows me to pay my utility bills quite easily and fastly.</t>
  </si>
  <si>
    <t>To remind us that these apps like Easypaisa make ATM and conventional banking venerable.</t>
  </si>
  <si>
    <t>Hammad</t>
  </si>
  <si>
    <t xml:space="preserve">I don't have time to answer your silly question </t>
  </si>
  <si>
    <t>I don't have time to answer your silly question</t>
  </si>
  <si>
    <t xml:space="preserve">Hira </t>
  </si>
  <si>
    <t xml:space="preserve">Donot have a specific reason </t>
  </si>
  <si>
    <t xml:space="preserve">I dont have any reason </t>
  </si>
  <si>
    <t>Coz of smooth transaction without any glitchess... Shayd</t>
  </si>
  <si>
    <t>Osama Maqsood</t>
  </si>
  <si>
    <t xml:space="preserve">Sometimes payment was received in jazz cash that's why i can use other app. </t>
  </si>
  <si>
    <t xml:space="preserve">Because i heard about that this app rules was good and save. </t>
  </si>
  <si>
    <t>Banking app</t>
  </si>
  <si>
    <t xml:space="preserve">How to check fake message and calls. </t>
  </si>
  <si>
    <t>M Talha Nadeem</t>
  </si>
  <si>
    <t>Scam</t>
  </si>
  <si>
    <t>muhammad ahsan</t>
  </si>
  <si>
    <t>jazz cash</t>
  </si>
  <si>
    <t>biometric issue for account verification</t>
  </si>
  <si>
    <t>ultimate features as compared to other app</t>
  </si>
  <si>
    <t>You don’t need cash or a physical bank—everything related to money can be done easily, quickly, and safely from your phone</t>
  </si>
  <si>
    <t>Muhammad Rayyan Amin</t>
  </si>
  <si>
    <t>N/A</t>
  </si>
  <si>
    <t>Its digital</t>
  </si>
  <si>
    <t>Yes, eidi transfered easily by easypaisa</t>
  </si>
  <si>
    <t>Ihtesham Mansoor</t>
  </si>
  <si>
    <t>not switching. Using Easypaisa from Day 1</t>
  </si>
  <si>
    <t xml:space="preserve">best for all transactions bills etc </t>
  </si>
  <si>
    <t>easypaisa is best then banking Apps</t>
  </si>
  <si>
    <t>Syed aliJafri</t>
  </si>
  <si>
    <t>Jazzcash quik response</t>
  </si>
  <si>
    <t>Yup</t>
  </si>
  <si>
    <t>Ahmed Chaudhry</t>
  </si>
  <si>
    <t>Better customer service.</t>
  </si>
  <si>
    <t xml:space="preserve">Allows virtual card as well. </t>
  </si>
  <si>
    <t xml:space="preserve">Digital banking has shortened the distance and lets people stay connected globally by any means of transaction. </t>
  </si>
  <si>
    <t>M.Moaz</t>
  </si>
  <si>
    <t>Mumbai</t>
  </si>
  <si>
    <t>Gpay</t>
  </si>
  <si>
    <t>nothing</t>
  </si>
  <si>
    <t>I will not keep it for life time</t>
  </si>
  <si>
    <t>G-PAY</t>
  </si>
  <si>
    <t>To advertise there app &amp; earn money
It is a very good app</t>
  </si>
  <si>
    <t>Khadija</t>
  </si>
  <si>
    <t xml:space="preserve">Easy withdrawal </t>
  </si>
  <si>
    <t>Send love, not just money. The ad framed digital Eidi as more than a transaction; it was a way to show you're thinking of your loved ones.</t>
  </si>
  <si>
    <t>Aima</t>
  </si>
  <si>
    <t>Jazz has soo many issues with its app</t>
  </si>
  <si>
    <t xml:space="preserve">Flexibility </t>
  </si>
  <si>
    <t>Dont know</t>
  </si>
  <si>
    <t>Waleed Ali</t>
  </si>
  <si>
    <t>Prefer not to say</t>
  </si>
  <si>
    <t>Non pta phone 🥲</t>
  </si>
  <si>
    <t xml:space="preserve">I have a non pta phone and jazzcash doesn’t work on it </t>
  </si>
  <si>
    <t xml:space="preserve">to promote the wallet as family use app </t>
  </si>
  <si>
    <t>Kishmala Zehra Naqvi</t>
  </si>
  <si>
    <t xml:space="preserve">jazz cash seems more integrated and efficient </t>
  </si>
  <si>
    <t xml:space="preserve">efficiency and reliability </t>
  </si>
  <si>
    <t xml:space="preserve">how digital payment apps help streamline transactions and avoid delayed payments in any situation </t>
  </si>
  <si>
    <t>Iqra chaudhry</t>
  </si>
  <si>
    <t>I have always been using this same app</t>
  </si>
  <si>
    <t>I prefer this app because of its speed.</t>
  </si>
  <si>
    <t>Bank account</t>
  </si>
  <si>
    <t>I haven’t seen this add</t>
  </si>
  <si>
    <t>Maryam Chaudhry</t>
  </si>
  <si>
    <t>Most of the people ask me to send money in jazzcash instead of easypesa</t>
  </si>
  <si>
    <t>It is easy to use and usually shopkeepers ask me to send money in jazzcash</t>
  </si>
  <si>
    <t>Didn't watch this</t>
  </si>
  <si>
    <t>Ali shabraiz asif</t>
  </si>
  <si>
    <t xml:space="preserve">No </t>
  </si>
  <si>
    <t xml:space="preserve">Good </t>
  </si>
  <si>
    <t>Yes good app</t>
  </si>
  <si>
    <t>Qasim</t>
  </si>
  <si>
    <t>No such reason</t>
  </si>
  <si>
    <t>Transferring money</t>
  </si>
  <si>
    <t>Haven’t seen it</t>
  </si>
  <si>
    <t>Muazzam Azam</t>
  </si>
  <si>
    <t xml:space="preserve">Easy to handle and use </t>
  </si>
  <si>
    <t xml:space="preserve">Easy to handle </t>
  </si>
  <si>
    <t xml:space="preserve">Didn't notice this ad </t>
  </si>
  <si>
    <t>M. Hashir</t>
  </si>
  <si>
    <t>It's nice</t>
  </si>
  <si>
    <t>Nice features</t>
  </si>
  <si>
    <t>ATM is not necessary you can just transfer the money as well</t>
  </si>
  <si>
    <t xml:space="preserve">Rabbiya </t>
  </si>
  <si>
    <t>I'm not switching</t>
  </si>
  <si>
    <t xml:space="preserve">Nothing special </t>
  </si>
  <si>
    <t xml:space="preserve">I don't know </t>
  </si>
  <si>
    <t>Muhammad Abbas</t>
  </si>
  <si>
    <t>Better ui</t>
  </si>
  <si>
    <t>Good ui and servers</t>
  </si>
  <si>
    <t>Didn't watch the ad</t>
  </si>
  <si>
    <t>isha khan</t>
  </si>
  <si>
    <t xml:space="preserve">the main reason I switched is that my friends and family moved to this app. </t>
  </si>
  <si>
    <t>its convenient.</t>
  </si>
  <si>
    <t>I don't know but maybe that it's easy to send money at any time, on any occasion easily, leads to better connection with others in general.</t>
  </si>
  <si>
    <t>Omais Ahmed</t>
  </si>
  <si>
    <t>From Starting i am using easypaisa</t>
  </si>
  <si>
    <t>It is adopted in market so i can use it any where</t>
  </si>
  <si>
    <t>For using easypaisa to send money</t>
  </si>
  <si>
    <t>Arbab Kareem</t>
  </si>
  <si>
    <t xml:space="preserve">Offers international transection </t>
  </si>
  <si>
    <t xml:space="preserve">Quick response, Quick transection </t>
  </si>
  <si>
    <t>Its basically promote international transection features</t>
  </si>
  <si>
    <t>Ali Shehram Ahsan</t>
  </si>
  <si>
    <t>User friendly</t>
  </si>
  <si>
    <t>Fast and easy transactions</t>
  </si>
  <si>
    <t xml:space="preserve">Hashaam </t>
  </si>
  <si>
    <t>Non</t>
  </si>
  <si>
    <t xml:space="preserve">Non </t>
  </si>
  <si>
    <t xml:space="preserve">No idea </t>
  </si>
  <si>
    <t xml:space="preserve">Haider Zulfiqar </t>
  </si>
  <si>
    <t xml:space="preserve">More options available specifically like Mtag payments </t>
  </si>
  <si>
    <t>Easy to use and even now scan and pay is getting normal at local stores so no need to carry cash</t>
  </si>
  <si>
    <t>Main message was to use Easypaisa to easily send eidi to love ones</t>
  </si>
  <si>
    <t>Khalid Niazi</t>
  </si>
  <si>
    <t>54 - 65</t>
  </si>
  <si>
    <t>London</t>
  </si>
  <si>
    <t>JAZZ Cash</t>
  </si>
  <si>
    <t>easy to use</t>
  </si>
  <si>
    <t>conviniance</t>
  </si>
  <si>
    <t xml:space="preserve">Muhammad Anas </t>
  </si>
  <si>
    <t xml:space="preserve">For better service </t>
  </si>
  <si>
    <t>Sadapay has fastest payment transfer method.</t>
  </si>
  <si>
    <t xml:space="preserve">This is the public awareness ad to use the app that is more secure and reliable for you internet banking </t>
  </si>
  <si>
    <t xml:space="preserve">Anny </t>
  </si>
  <si>
    <t>It is the first app I used</t>
  </si>
  <si>
    <t>Payment</t>
  </si>
  <si>
    <t xml:space="preserve">You can give online Eidi now without excuses </t>
  </si>
  <si>
    <t>Hussian</t>
  </si>
  <si>
    <t>Easy</t>
  </si>
  <si>
    <t xml:space="preserve">Promotion </t>
  </si>
  <si>
    <t>Taah Mahmood</t>
  </si>
  <si>
    <t>The first name that comes to my mind is jazz cash as it is the most common digital wallet</t>
  </si>
  <si>
    <t xml:space="preserve">I got a physical card free of cost from nayapay so i switched my services from jazz cash to nayapay as it was more convenient for me. </t>
  </si>
  <si>
    <t>It is convenient for me to use as i have physical card. And this app has built my trust overtime. Once i got double charged for the same thing i raised the concern with their customer service and they refunded the amount within 2 or 3 hours</t>
  </si>
  <si>
    <t xml:space="preserve">I would recomend using an official bank application like meezan bank or mcb. </t>
  </si>
  <si>
    <t xml:space="preserve">The main message in this add was ro potray how easy it is to transfer the funds using digital wallet. </t>
  </si>
  <si>
    <t>Sameer</t>
  </si>
  <si>
    <t xml:space="preserve">Better app quality and easy money transfer </t>
  </si>
  <si>
    <t>Easy transfers</t>
  </si>
  <si>
    <t>Maarib Naqvi</t>
  </si>
  <si>
    <t>Its shit</t>
  </si>
  <si>
    <t>Shit but better than shit</t>
  </si>
  <si>
    <t>Convenience of their app</t>
  </si>
  <si>
    <t>Fahad</t>
  </si>
  <si>
    <t xml:space="preserve">Because JazzCash automatically subscribe services through my account and payment deducts automatically </t>
  </si>
  <si>
    <t xml:space="preserve">Because easypaisa is mostly available everywhere and that don't deduct amount without our permission like JazzCash do. </t>
  </si>
  <si>
    <t>Advertising the app's feature</t>
  </si>
  <si>
    <t xml:space="preserve">Hanzala Ahmad </t>
  </si>
  <si>
    <t>Very good and reliable.</t>
  </si>
  <si>
    <t>main easypaisa app ko refer nahin karta jab payment karenge Apne payment katati hai Maine charges Rakh liye hain isliye bus main ek majburi ki tahat isko use karta hun jashcash Mera Nahin hai</t>
  </si>
  <si>
    <t>You were trying to find out which app people use the most.</t>
  </si>
  <si>
    <t>Momina</t>
  </si>
  <si>
    <t xml:space="preserve">Wanted to try a new one </t>
  </si>
  <si>
    <t>I haven’t watched the add yet</t>
  </si>
  <si>
    <t>5G services Jazz and warid?</t>
  </si>
  <si>
    <t xml:space="preserve">Jazz Cash </t>
  </si>
  <si>
    <t>Jazzcash, easypaisa</t>
  </si>
  <si>
    <t xml:space="preserve">Better services </t>
  </si>
  <si>
    <t xml:space="preserve">Good response </t>
  </si>
  <si>
    <t xml:space="preserve">Good work </t>
  </si>
  <si>
    <t>Mujtaba Javed</t>
  </si>
  <si>
    <t xml:space="preserve">A virtual card </t>
  </si>
  <si>
    <t>Friendly interface + no IBFT charges</t>
  </si>
  <si>
    <t xml:space="preserve">To communicate that it is far more easy to send money instead of hassling for cash through atms via easypaisa </t>
  </si>
  <si>
    <t>Aurangzeb</t>
  </si>
  <si>
    <t>Jazzcash, easypaisa, credit cards</t>
  </si>
  <si>
    <t>Wanted to</t>
  </si>
  <si>
    <t xml:space="preserve">Efficient </t>
  </si>
  <si>
    <t>Banking apps</t>
  </si>
  <si>
    <t>Haven’t seen the ad</t>
  </si>
  <si>
    <t>Muhammad Arib</t>
  </si>
  <si>
    <t>Easy funds transfer without any delay</t>
  </si>
  <si>
    <t>Rapid transfer of funds</t>
  </si>
  <si>
    <t xml:space="preserve">Despite other banking services being unavailable due to Eid, easypaisa was available through its digital banking facility providing an easy way of transferring money, which in my opinion, also promotes digital banking </t>
  </si>
  <si>
    <t>Aillia Asghar</t>
  </si>
  <si>
    <t>Eidi</t>
  </si>
  <si>
    <t xml:space="preserve">Alina Abid </t>
  </si>
  <si>
    <t>Using jazzcash the most from the start</t>
  </si>
  <si>
    <t xml:space="preserve">Most feasible and reliable app </t>
  </si>
  <si>
    <t>Not clearly remember</t>
  </si>
  <si>
    <t>Rana hamza</t>
  </si>
  <si>
    <t>Easy to use and quick service, also helpfull team</t>
  </si>
  <si>
    <t>Easy to use, mostly everyone have account</t>
  </si>
  <si>
    <t>Meezan bank prefer</t>
  </si>
  <si>
    <t xml:space="preserve">Dekhii he ni bhai yaad he ni rahta kuch b </t>
  </si>
  <si>
    <t>Nohail</t>
  </si>
  <si>
    <t>Jazcash, Easypaisa, nayapay</t>
  </si>
  <si>
    <t xml:space="preserve">they scammed </t>
  </si>
  <si>
    <t>fast n secure</t>
  </si>
  <si>
    <t>shows the services of the app n highlights the wide use of the app in whole nation</t>
  </si>
  <si>
    <t>Danyal</t>
  </si>
  <si>
    <t>There is no any specific reason.</t>
  </si>
  <si>
    <t>Bcoz fast payment and transaction history is updated with in seconds.</t>
  </si>
  <si>
    <t>It's proficient app</t>
  </si>
  <si>
    <t xml:space="preserve">Ghani Khan </t>
  </si>
  <si>
    <t xml:space="preserve">User friendly </t>
  </si>
  <si>
    <t xml:space="preserve">Easy access </t>
  </si>
  <si>
    <t>Respondent Profile:
Name</t>
  </si>
  <si>
    <t>Age</t>
  </si>
  <si>
    <t>City</t>
  </si>
  <si>
    <t>5.3) In your own words, what was the main message of this ad? (Please be specific; avoid general answers like 'it is a good app.'</t>
  </si>
  <si>
    <t>jazzcash,easypaisa,sadapay</t>
  </si>
  <si>
    <t>6</t>
  </si>
  <si>
    <t>sadapay</t>
  </si>
  <si>
    <t>4</t>
  </si>
  <si>
    <t>jazzcash,easypaisa,nayapay</t>
  </si>
  <si>
    <t>7</t>
  </si>
  <si>
    <t>jazzcash,easypaisa,sadapay,nayapay</t>
  </si>
  <si>
    <t>5</t>
  </si>
  <si>
    <t>jazzcash,easypaisa</t>
  </si>
  <si>
    <t>jazzcash,sadapay,nayapay</t>
  </si>
  <si>
    <t>jazzcash,nayapay</t>
  </si>
  <si>
    <t>jazzcash,sadapay</t>
  </si>
  <si>
    <t>easypaisa,nayapay</t>
  </si>
  <si>
    <t>easypaisa,sadapay</t>
  </si>
  <si>
    <t>2</t>
  </si>
  <si>
    <t>3</t>
  </si>
  <si>
    <t>1</t>
  </si>
  <si>
    <t>sadapay,nayapay</t>
  </si>
  <si>
    <t>bankaccount</t>
  </si>
  <si>
    <t>nayapay,easypaisa</t>
  </si>
  <si>
    <t>mashreq</t>
  </si>
  <si>
    <t>hbl</t>
  </si>
  <si>
    <t>easypaisa,sadapay,nayapay</t>
  </si>
  <si>
    <t>Using since</t>
  </si>
  <si>
    <t>Previous Brand</t>
  </si>
  <si>
    <t>Reasons for switching</t>
  </si>
  <si>
    <t>Future intent</t>
  </si>
  <si>
    <t>Reasons for keep using</t>
  </si>
  <si>
    <t>NPS</t>
  </si>
  <si>
    <t>Alternate App</t>
  </si>
  <si>
    <t>Not switched</t>
  </si>
  <si>
    <t>bankingapp</t>
  </si>
  <si>
    <t>i have not seen this ad</t>
  </si>
  <si>
    <t>Raiwind</t>
  </si>
  <si>
    <t>none</t>
  </si>
  <si>
    <t>Jhang</t>
  </si>
  <si>
    <t>Sadiqabad</t>
  </si>
  <si>
    <t>bank</t>
  </si>
  <si>
    <t>Name</t>
  </si>
  <si>
    <t>Awareness</t>
  </si>
  <si>
    <t>Index</t>
  </si>
  <si>
    <t>APP</t>
  </si>
  <si>
    <t>IMAGERY</t>
  </si>
  <si>
    <t>TOMA</t>
  </si>
  <si>
    <t>Count</t>
  </si>
  <si>
    <t>%</t>
  </si>
  <si>
    <t>TOTAL AWARENESS</t>
  </si>
  <si>
    <t>Detractors</t>
  </si>
  <si>
    <t>Neutral</t>
  </si>
  <si>
    <t>Promoters</t>
  </si>
  <si>
    <t>count</t>
  </si>
  <si>
    <t>Percentage</t>
  </si>
  <si>
    <t>coding</t>
  </si>
  <si>
    <t>Gender analysis</t>
  </si>
  <si>
    <t>Age group analysis</t>
  </si>
  <si>
    <t>18-29</t>
  </si>
  <si>
    <t>30-41</t>
  </si>
  <si>
    <t>42-54</t>
  </si>
  <si>
    <t>55-64</t>
  </si>
  <si>
    <t>percentage</t>
  </si>
  <si>
    <t>Favorite</t>
  </si>
  <si>
    <t>using since</t>
  </si>
  <si>
    <t>Apps Usage</t>
  </si>
  <si>
    <t>previous app</t>
  </si>
  <si>
    <t>Where people moved from their Ex-App</t>
  </si>
  <si>
    <t>Favorite App</t>
  </si>
  <si>
    <t>Reasons why people are moving to other apps</t>
  </si>
  <si>
    <t>Better UX</t>
  </si>
  <si>
    <t>Better Features</t>
  </si>
  <si>
    <t>Performance</t>
  </si>
  <si>
    <t>Good Customer Services</t>
  </si>
  <si>
    <t>Ecosystem Advantage</t>
  </si>
  <si>
    <t>Greater Trust</t>
  </si>
  <si>
    <t>Bad UX</t>
  </si>
  <si>
    <t>PULL factors</t>
  </si>
  <si>
    <t>PUSH Factors</t>
  </si>
  <si>
    <t>Trust issues</t>
  </si>
  <si>
    <t>Technical Failures</t>
  </si>
  <si>
    <t>Account Access Issues</t>
  </si>
  <si>
    <t>Explore</t>
  </si>
  <si>
    <t>Poor Customer Service</t>
  </si>
  <si>
    <t>possible they want to give it a try?</t>
  </si>
  <si>
    <t>Explore: Everybody is talking about the easypaisa , jazzcash or everyother person has it so it might  be</t>
  </si>
  <si>
    <t>Reasons why people want to keep using their current app</t>
  </si>
  <si>
    <t>Better features</t>
  </si>
  <si>
    <t>Other</t>
  </si>
  <si>
    <t>Good Customer Service</t>
  </si>
  <si>
    <t>Financial benefits</t>
  </si>
  <si>
    <t>Current usage</t>
  </si>
  <si>
    <t>Hypothesis: those who say better UX are using it more than 2 years =TRUE</t>
  </si>
  <si>
    <t>current app</t>
  </si>
  <si>
    <t>Switch_Status</t>
  </si>
  <si>
    <t>Switch_basket</t>
  </si>
  <si>
    <t>using</t>
  </si>
  <si>
    <t xml:space="preserve">Switch </t>
  </si>
  <si>
    <t>Push/Pull Factors</t>
  </si>
  <si>
    <t xml:space="preserve">Push </t>
  </si>
  <si>
    <t>Not Switched</t>
  </si>
  <si>
    <t xml:space="preserve">Pull </t>
  </si>
  <si>
    <t>Poor Customer Services</t>
  </si>
  <si>
    <t>Trust Issues</t>
  </si>
  <si>
    <t>Count of Alternate App</t>
  </si>
  <si>
    <t>Column Labels</t>
  </si>
  <si>
    <t>Row Labels</t>
  </si>
  <si>
    <t>bank app</t>
  </si>
  <si>
    <t>Grand Total</t>
  </si>
  <si>
    <t>Grand total</t>
  </si>
  <si>
    <t>AWARENESS</t>
  </si>
  <si>
    <t>Fintech Application Explortory Data Analysis</t>
  </si>
  <si>
    <t xml:space="preserve"> Gender Analysis</t>
  </si>
  <si>
    <t>Age Group Analysis</t>
  </si>
  <si>
    <t>Age Group</t>
  </si>
  <si>
    <t>App</t>
  </si>
  <si>
    <t>Application(Awareness)</t>
  </si>
  <si>
    <t>Value</t>
  </si>
  <si>
    <t>Application</t>
  </si>
  <si>
    <t>Current App</t>
  </si>
  <si>
    <t xml:space="preserve">When thinking about mobile wallets and digital payment apps in Pakistan, what is the first name that comes into your mind? (JazzCash, Easypaisa, etc.) </t>
  </si>
  <si>
    <t>2.1) Which of these digital payment apps have you ever used personally?</t>
  </si>
  <si>
    <t>2.3) Of all the apps you use, which one do you consider as your PRIMARY (most used) digital payment app?</t>
  </si>
  <si>
    <t>2.2) Which of these apps are you currently 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</si>
</sst>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3" x14ac:knownFonts="1">
    <font>
      <sz val="10"/>
      <color rgb="FF000000"/>
      <name val="Arial"/>
      <scheme val="minor"/>
    </font>
    <font>
      <sz val="11"/>
      <color theme="1"/>
      <name val="Arial"/>
      <family val="2"/>
      <scheme val="minor"/>
    </font>
    <font>
      <sz val="10"/>
      <color theme="1"/>
      <name val="Arial"/>
      <family val="2"/>
      <scheme val="minor"/>
    </font>
    <font>
      <b/>
      <sz val="10"/>
      <color theme="1"/>
      <name val="Arial"/>
      <family val="2"/>
      <scheme val="minor"/>
    </font>
    <font>
      <b/>
      <sz val="10"/>
      <color theme="1"/>
      <name val="Arial"/>
      <family val="2"/>
    </font>
    <font>
      <sz val="10"/>
      <color theme="1"/>
      <name val="Arial"/>
      <family val="2"/>
    </font>
    <font>
      <b/>
      <i/>
      <sz val="10"/>
      <color theme="1"/>
      <name val="Arial"/>
      <family val="2"/>
    </font>
    <font>
      <sz val="10"/>
      <color rgb="FF000000"/>
      <name val="Arial"/>
      <family val="2"/>
      <scheme val="minor"/>
    </font>
    <font>
      <sz val="8"/>
      <name val="Arial"/>
      <family val="2"/>
      <scheme val="minor"/>
    </font>
    <font>
      <sz val="10"/>
      <color rgb="FF000000"/>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b/>
      <sz val="10"/>
      <color theme="0"/>
      <name val="Arial"/>
      <family val="2"/>
      <scheme val="minor"/>
    </font>
    <font>
      <b/>
      <sz val="10"/>
      <color rgb="FFFFFFFF"/>
      <name val="Arial"/>
      <family val="2"/>
      <scheme val="minor"/>
    </font>
    <font>
      <sz val="18"/>
      <color rgb="FF000000"/>
      <name val="Arial"/>
      <family val="2"/>
      <scheme val="minor"/>
    </font>
    <font>
      <sz val="16"/>
      <color rgb="FF000000"/>
      <name val="Arial"/>
      <family val="2"/>
      <scheme val="minor"/>
    </font>
    <font>
      <b/>
      <sz val="10"/>
      <color rgb="FF000000"/>
      <name val="Arial"/>
      <family val="2"/>
      <scheme val="minor"/>
    </font>
    <font>
      <b/>
      <sz val="10"/>
      <color rgb="FF004F88"/>
      <name val="Arial"/>
      <family val="2"/>
      <scheme val="minor"/>
    </font>
    <font>
      <b/>
      <sz val="11"/>
      <color theme="1"/>
      <name val="Arial"/>
      <family val="2"/>
      <scheme val="minor"/>
    </font>
    <font>
      <sz val="11"/>
      <color rgb="FF2B2B00"/>
      <name val="Arial"/>
      <family val="2"/>
      <scheme val="minor"/>
    </font>
    <font>
      <b/>
      <sz val="11"/>
      <color rgb="FFFFFFFF"/>
      <name val="Arial"/>
      <family val="2"/>
      <scheme val="minor"/>
    </font>
    <font>
      <b/>
      <sz val="18"/>
      <color theme="0"/>
      <name val="Arial"/>
      <family val="2"/>
      <scheme val="minor"/>
    </font>
  </fonts>
  <fills count="2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0000"/>
        <bgColor indexed="64"/>
      </patternFill>
    </fill>
    <fill>
      <patternFill patternType="solid">
        <fgColor theme="4"/>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rgb="FF227ACB"/>
        <bgColor indexed="64"/>
      </patternFill>
    </fill>
    <fill>
      <patternFill patternType="solid">
        <fgColor rgb="FF92D050"/>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33CC"/>
        <bgColor indexed="64"/>
      </patternFill>
    </fill>
    <fill>
      <patternFill patternType="solid">
        <fgColor theme="9"/>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1"/>
        <bgColor indexed="64"/>
      </patternFill>
    </fill>
  </fills>
  <borders count="3">
    <border>
      <left/>
      <right/>
      <top/>
      <bottom/>
      <diagonal/>
    </border>
    <border>
      <left/>
      <right/>
      <top style="thin">
        <color theme="9" tint="0.39997558519241921"/>
      </top>
      <bottom style="thin">
        <color theme="9" tint="0.39997558519241921"/>
      </bottom>
      <diagonal/>
    </border>
    <border>
      <left/>
      <right/>
      <top/>
      <bottom style="thin">
        <color theme="4" tint="0.39997558519241921"/>
      </bottom>
      <diagonal/>
    </border>
  </borders>
  <cellStyleXfs count="6">
    <xf numFmtId="0" fontId="0" fillId="0" borderId="0"/>
    <xf numFmtId="9" fontId="9" fillId="0" borderId="0" applyFon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 fillId="0" borderId="0"/>
  </cellStyleXfs>
  <cellXfs count="59">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164" fontId="2" fillId="0" borderId="0" xfId="0" applyNumberFormat="1" applyFont="1" applyAlignment="1">
      <alignment vertical="center"/>
    </xf>
    <xf numFmtId="0" fontId="2" fillId="0" borderId="0" xfId="0" applyFont="1" applyAlignment="1">
      <alignment vertical="center"/>
    </xf>
    <xf numFmtId="0" fontId="7" fillId="0" borderId="0" xfId="0" applyFont="1"/>
    <xf numFmtId="0" fontId="0" fillId="0" borderId="0" xfId="0" applyAlignment="1">
      <alignment horizontal="center"/>
    </xf>
    <xf numFmtId="0" fontId="13" fillId="5" borderId="1" xfId="0" applyFont="1" applyFill="1" applyBorder="1"/>
    <xf numFmtId="0" fontId="2" fillId="6" borderId="1" xfId="0" applyFont="1" applyFill="1" applyBorder="1"/>
    <xf numFmtId="0" fontId="2" fillId="0" borderId="1" xfId="0" applyFont="1" applyBorder="1"/>
    <xf numFmtId="9" fontId="0" fillId="0" borderId="0" xfId="1" applyFont="1"/>
    <xf numFmtId="0" fontId="7" fillId="7" borderId="0" xfId="0" applyFont="1" applyFill="1"/>
    <xf numFmtId="9" fontId="7" fillId="7" borderId="0" xfId="1" applyFont="1" applyFill="1"/>
    <xf numFmtId="9" fontId="0" fillId="0" borderId="0" xfId="0" applyNumberFormat="1"/>
    <xf numFmtId="1" fontId="0" fillId="0" borderId="0" xfId="0" applyNumberFormat="1"/>
    <xf numFmtId="0" fontId="0" fillId="7" borderId="0" xfId="0" applyFill="1"/>
    <xf numFmtId="0" fontId="10" fillId="2" borderId="0" xfId="2" applyAlignment="1">
      <alignment horizontal="center"/>
    </xf>
    <xf numFmtId="0" fontId="12" fillId="4" borderId="0" xfId="4" applyAlignment="1">
      <alignment horizontal="center"/>
    </xf>
    <xf numFmtId="0" fontId="11" fillId="3" borderId="0" xfId="3" applyAlignment="1">
      <alignment horizontal="center"/>
    </xf>
    <xf numFmtId="0" fontId="11" fillId="3" borderId="0" xfId="3"/>
    <xf numFmtId="0" fontId="12" fillId="4" borderId="0" xfId="4"/>
    <xf numFmtId="0" fontId="10" fillId="2" borderId="0" xfId="2"/>
    <xf numFmtId="0" fontId="13" fillId="5" borderId="0" xfId="0" applyFont="1" applyFill="1"/>
    <xf numFmtId="0" fontId="0" fillId="8" borderId="0" xfId="0" applyFill="1"/>
    <xf numFmtId="0" fontId="14" fillId="12" borderId="0" xfId="0" applyFont="1" applyFill="1"/>
    <xf numFmtId="0" fontId="14" fillId="13" borderId="0" xfId="0" applyFont="1" applyFill="1"/>
    <xf numFmtId="0" fontId="17" fillId="14" borderId="0" xfId="0" applyFont="1" applyFill="1" applyAlignment="1">
      <alignment horizontal="center"/>
    </xf>
    <xf numFmtId="0" fontId="14" fillId="15" borderId="0" xfId="0" applyFont="1" applyFill="1" applyAlignment="1">
      <alignment horizontal="center"/>
    </xf>
    <xf numFmtId="0" fontId="18" fillId="0" borderId="0" xfId="0" applyFont="1"/>
    <xf numFmtId="0" fontId="18" fillId="16" borderId="0" xfId="0" applyFont="1" applyFill="1" applyAlignment="1">
      <alignment horizontal="center"/>
    </xf>
    <xf numFmtId="0" fontId="7" fillId="8" borderId="0" xfId="0" applyFont="1" applyFill="1"/>
    <xf numFmtId="0" fontId="1" fillId="0" borderId="0" xfId="5"/>
    <xf numFmtId="0" fontId="1" fillId="7" borderId="0" xfId="5" applyFill="1"/>
    <xf numFmtId="0" fontId="1" fillId="0" borderId="0" xfId="5" applyAlignment="1">
      <alignment horizontal="left"/>
    </xf>
    <xf numFmtId="0" fontId="20" fillId="0" borderId="0" xfId="5" applyFont="1"/>
    <xf numFmtId="0" fontId="21" fillId="18" borderId="0" xfId="5" applyFont="1" applyFill="1" applyAlignment="1">
      <alignment horizontal="left"/>
    </xf>
    <xf numFmtId="0" fontId="19" fillId="19" borderId="2" xfId="5" applyFont="1" applyFill="1" applyBorder="1"/>
    <xf numFmtId="0" fontId="1" fillId="8" borderId="0" xfId="5" applyFill="1"/>
    <xf numFmtId="0" fontId="19" fillId="0" borderId="0" xfId="5" applyFont="1" applyAlignment="1">
      <alignment horizontal="left"/>
    </xf>
    <xf numFmtId="0" fontId="1" fillId="20" borderId="0" xfId="5" applyFill="1"/>
    <xf numFmtId="10" fontId="0" fillId="0" borderId="0" xfId="0" applyNumberFormat="1"/>
    <xf numFmtId="0" fontId="0" fillId="0" borderId="0" xfId="0" applyAlignment="1">
      <alignment horizontal="center" vertical="center"/>
    </xf>
    <xf numFmtId="9" fontId="0" fillId="0" borderId="0" xfId="1" applyFont="1" applyAlignment="1">
      <alignment horizontal="center" vertical="center"/>
    </xf>
    <xf numFmtId="0" fontId="17" fillId="0" borderId="0" xfId="0" applyFont="1" applyAlignment="1">
      <alignment horizontal="center" vertical="center"/>
    </xf>
    <xf numFmtId="0" fontId="17" fillId="0" borderId="0" xfId="0" applyFont="1"/>
    <xf numFmtId="0" fontId="0" fillId="23" borderId="0" xfId="0" applyFill="1"/>
    <xf numFmtId="0" fontId="3" fillId="0" borderId="0" xfId="0" applyFont="1" applyAlignment="1">
      <alignment horizontal="left" vertical="center" wrapText="1"/>
    </xf>
    <xf numFmtId="0" fontId="22" fillId="21" borderId="0" xfId="0" applyFont="1" applyFill="1" applyAlignment="1">
      <alignment horizontal="center" vertical="center"/>
    </xf>
    <xf numFmtId="0" fontId="14" fillId="8" borderId="0" xfId="0" applyFont="1" applyFill="1" applyAlignment="1">
      <alignment horizontal="center" vertical="center"/>
    </xf>
    <xf numFmtId="0" fontId="14" fillId="17" borderId="0" xfId="0" applyFont="1" applyFill="1" applyAlignment="1">
      <alignment horizontal="center"/>
    </xf>
    <xf numFmtId="0" fontId="13" fillId="22" borderId="0" xfId="0" applyFont="1" applyFill="1" applyAlignment="1">
      <alignment horizontal="center"/>
    </xf>
    <xf numFmtId="0" fontId="14" fillId="22" borderId="0" xfId="0" applyFont="1" applyFill="1" applyAlignment="1">
      <alignment horizontal="center" vertical="center"/>
    </xf>
    <xf numFmtId="0" fontId="17" fillId="7" borderId="0" xfId="0" applyFont="1" applyFill="1" applyAlignment="1">
      <alignment horizontal="center" vertical="center" textRotation="90"/>
    </xf>
    <xf numFmtId="0" fontId="15" fillId="10" borderId="0" xfId="0" applyFont="1" applyFill="1" applyAlignment="1">
      <alignment horizontal="center" vertical="center" textRotation="90"/>
    </xf>
    <xf numFmtId="0" fontId="16" fillId="11" borderId="0" xfId="0" applyFont="1" applyFill="1" applyAlignment="1">
      <alignment horizontal="center" vertical="center"/>
    </xf>
    <xf numFmtId="0" fontId="19" fillId="7" borderId="0" xfId="5" applyFont="1" applyFill="1" applyAlignment="1">
      <alignment horizontal="center"/>
    </xf>
    <xf numFmtId="0" fontId="0" fillId="7" borderId="0" xfId="0" applyFill="1" applyAlignment="1">
      <alignment horizontal="center"/>
    </xf>
    <xf numFmtId="0" fontId="14" fillId="9" borderId="0" xfId="0" applyFont="1" applyFill="1" applyAlignment="1">
      <alignment horizontal="center" vertical="center"/>
    </xf>
    <xf numFmtId="0" fontId="7" fillId="7" borderId="0" xfId="0" applyFont="1" applyFill="1" applyAlignment="1">
      <alignment horizontal="center"/>
    </xf>
  </cellXfs>
  <cellStyles count="6">
    <cellStyle name="Bad" xfId="3" builtinId="27"/>
    <cellStyle name="Good" xfId="2" builtinId="26"/>
    <cellStyle name="Neutral" xfId="4" builtinId="28"/>
    <cellStyle name="Normal" xfId="0" builtinId="0"/>
    <cellStyle name="Normal 2" xfId="5" xr:uid="{C77014FF-E997-4ED9-9FAC-638B394185A4}"/>
    <cellStyle name="Per cent" xfId="1" builtinId="5"/>
  </cellStyles>
  <dxfs count="6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0"/>
        <color theme="0"/>
        <name val="Arial"/>
        <family val="2"/>
        <scheme val="minor"/>
      </font>
      <fill>
        <patternFill patternType="solid">
          <fgColor theme="9"/>
          <bgColor theme="9"/>
        </patternFill>
      </fill>
    </dxf>
    <dxf>
      <numFmt numFmtId="0" formatCode="General"/>
    </dxf>
    <dxf>
      <numFmt numFmtId="0" formatCode="General"/>
    </dxf>
    <dxf>
      <font>
        <color rgb="FF2B2B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00000000-0011-0000-FFFF-FFFF00000000}">
      <tableStyleElement type="wholeTable" size="0" dxfId="65"/>
      <tableStyleElement type="headerRow" dxfId="64"/>
      <tableStyleElement type="firstRowStripe" dxfId="63"/>
      <tableStyleElement type="secondRowStripe" dxfId="62"/>
    </tableStyle>
  </tableStyles>
  <colors>
    <mruColors>
      <color rgb="FF0033CC"/>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2"/>
          <c:order val="0"/>
          <c:tx>
            <c:strRef>
              <c:f>'Exploratory Data Analysis'!$D$9</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87-423D-A905-449E559626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87-423D-A905-449E5596260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187-423D-A905-449E55962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'Exploratory Data Analysis'!$B$10:$B$12</c:f>
              <c:strCache>
                <c:ptCount val="3"/>
                <c:pt idx="0">
                  <c:v>Male</c:v>
                </c:pt>
                <c:pt idx="1">
                  <c:v>Female</c:v>
                </c:pt>
                <c:pt idx="2">
                  <c:v>Prefer not to say</c:v>
                </c:pt>
              </c:strCache>
            </c:strRef>
          </c:cat>
          <c:val>
            <c:numRef>
              <c:f>'Exploratory Data Analysis'!$D$10:$D$12</c:f>
              <c:numCache>
                <c:formatCode>0%</c:formatCode>
                <c:ptCount val="3"/>
                <c:pt idx="0">
                  <c:v>0.70666666666666667</c:v>
                </c:pt>
                <c:pt idx="1">
                  <c:v>0.28666666666666668</c:v>
                </c:pt>
                <c:pt idx="2">
                  <c:v>6.6666666666666671E-3</c:v>
                </c:pt>
              </c:numCache>
            </c:numRef>
          </c:val>
          <c:extLst>
            <c:ext xmlns:c16="http://schemas.microsoft.com/office/drawing/2014/chart" uri="{C3380CC4-5D6E-409C-BE32-E72D297353CC}">
              <c16:uniqueId val="{00000029-1F0B-441B-B560-7F1544F96C26}"/>
            </c:ext>
          </c:extLst>
        </c:ser>
        <c:ser>
          <c:idx val="3"/>
          <c:order val="1"/>
          <c:tx>
            <c:strRef>
              <c:f>SINGLE_RESPONSES!$E$155</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F0B-441B-B560-7F1544F96C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0B-441B-B560-7F1544F96C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F0B-441B-B560-7F1544F96C26}"/>
              </c:ext>
            </c:extLst>
          </c:dPt>
          <c:cat>
            <c:multiLvlStrRef>
              <c:f>SINGLE_RESPONSES!$B$156:$B$158</c:f>
            </c:multiLvlStrRef>
          </c:cat>
          <c:val>
            <c:numRef>
              <c:f>SINGLE_RESPONSES!$E$156:$E$158</c:f>
            </c:numRef>
          </c:val>
          <c:extLst>
            <c:ext xmlns:c16="http://schemas.microsoft.com/office/drawing/2014/chart" uri="{C3380CC4-5D6E-409C-BE32-E72D297353CC}">
              <c16:uniqueId val="{0000002A-1F0B-441B-B560-7F1544F96C26}"/>
            </c:ext>
          </c:extLst>
        </c:ser>
        <c:ser>
          <c:idx val="4"/>
          <c:order val="2"/>
          <c:tx>
            <c:strRef>
              <c:f>SINGLE_RESPONSES!$E$155</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F0B-441B-B560-7F1544F96C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1F0B-441B-B560-7F1544F96C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F0B-441B-B560-7F1544F96C26}"/>
              </c:ext>
            </c:extLst>
          </c:dPt>
          <c:cat>
            <c:multiLvlStrRef>
              <c:f>SINGLE_RESPONSES!$B$156:$B$158</c:f>
            </c:multiLvlStrRef>
          </c:cat>
          <c:val>
            <c:numRef>
              <c:f>SINGLE_RESPONSES!$E$156:$E$158</c:f>
            </c:numRef>
          </c:val>
          <c:extLst>
            <c:ext xmlns:c16="http://schemas.microsoft.com/office/drawing/2014/chart" uri="{C3380CC4-5D6E-409C-BE32-E72D297353CC}">
              <c16:uniqueId val="{0000002E-1F0B-441B-B560-7F1544F96C26}"/>
            </c:ext>
          </c:extLst>
        </c:ser>
        <c:ser>
          <c:idx val="0"/>
          <c:order val="3"/>
          <c:tx>
            <c:strRef>
              <c:f>SINGLE_RESPONSES!$E$155</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F0B-441B-B560-7F1544F96C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F0B-441B-B560-7F1544F96C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F0B-441B-B560-7F1544F96C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SINGLE_RESPONSES!$B$156:$B$158</c:f>
            </c:multiLvlStrRef>
          </c:cat>
          <c:val>
            <c:numRef>
              <c:f>SINGLE_RESPONSES!$E$156:$E$158</c:f>
            </c:numRef>
          </c:val>
          <c:extLst>
            <c:ext xmlns:c16="http://schemas.microsoft.com/office/drawing/2014/chart" uri="{C3380CC4-5D6E-409C-BE32-E72D297353CC}">
              <c16:uniqueId val="{00000020-1F0B-441B-B560-7F1544F96C26}"/>
            </c:ext>
          </c:extLst>
        </c:ser>
        <c:ser>
          <c:idx val="1"/>
          <c:order val="4"/>
          <c:tx>
            <c:strRef>
              <c:f>SINGLE_RESPONSES!$E$155</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F0B-441B-B560-7F1544F96C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F0B-441B-B560-7F1544F96C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F0B-441B-B560-7F1544F96C26}"/>
              </c:ext>
            </c:extLst>
          </c:dPt>
          <c:cat>
            <c:multiLvlStrRef>
              <c:f>SINGLE_RESPONSES!$B$156:$B$158</c:f>
            </c:multiLvlStrRef>
          </c:cat>
          <c:val>
            <c:numRef>
              <c:f>SINGLE_RESPONSES!$E$156:$E$158</c:f>
            </c:numRef>
          </c:val>
          <c:extLst>
            <c:ext xmlns:c16="http://schemas.microsoft.com/office/drawing/2014/chart" uri="{C3380CC4-5D6E-409C-BE32-E72D297353CC}">
              <c16:uniqueId val="{00000028-1F0B-441B-B560-7F1544F96C2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'Exploratory Data Analysis'!$D$27</c:f>
              <c:strCache>
                <c:ptCount val="1"/>
                <c:pt idx="0">
                  <c:v>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'Exploratory Data Analysis'!$C$28:$C$32</c:f>
              <c:strCache>
                <c:ptCount val="5"/>
                <c:pt idx="0">
                  <c:v>18-29</c:v>
                </c:pt>
                <c:pt idx="1">
                  <c:v>30-41</c:v>
                </c:pt>
                <c:pt idx="2">
                  <c:v>42-54</c:v>
                </c:pt>
                <c:pt idx="3">
                  <c:v>55-64</c:v>
                </c:pt>
                <c:pt idx="4">
                  <c:v>66 and above</c:v>
                </c:pt>
              </c:strCache>
            </c:strRef>
          </c:cat>
          <c:val>
            <c:numRef>
              <c:f>'Exploratory Data Analysis'!$D$28:$D$32</c:f>
              <c:numCache>
                <c:formatCode>0%</c:formatCode>
                <c:ptCount val="5"/>
                <c:pt idx="0">
                  <c:v>0.84666666666666668</c:v>
                </c:pt>
                <c:pt idx="1">
                  <c:v>0.1</c:v>
                </c:pt>
                <c:pt idx="2">
                  <c:v>3.3333333333333333E-2</c:v>
                </c:pt>
                <c:pt idx="3">
                  <c:v>1.3333333333333334E-2</c:v>
                </c:pt>
                <c:pt idx="4">
                  <c:v>6.6666666666666671E-3</c:v>
                </c:pt>
              </c:numCache>
            </c:numRef>
          </c:val>
          <c:extLst>
            <c:ext xmlns:c16="http://schemas.microsoft.com/office/drawing/2014/chart" uri="{C3380CC4-5D6E-409C-BE32-E72D297353CC}">
              <c16:uniqueId val="{00000000-6302-4940-BFFC-67B85B5A747B}"/>
            </c:ext>
          </c:extLst>
        </c:ser>
        <c:dLbls>
          <c:dLblPos val="outEnd"/>
          <c:showLegendKey val="0"/>
          <c:showVal val="1"/>
          <c:showCatName val="0"/>
          <c:showSerName val="0"/>
          <c:showPercent val="0"/>
          <c:showBubbleSize val="0"/>
        </c:dLbls>
        <c:gapWidth val="100"/>
        <c:overlap val="-24"/>
        <c:axId val="2063286095"/>
        <c:axId val="441779904"/>
      </c:barChart>
      <c:catAx>
        <c:axId val="2063286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1779904"/>
        <c:crosses val="autoZero"/>
        <c:auto val="1"/>
        <c:lblAlgn val="ctr"/>
        <c:lblOffset val="100"/>
        <c:noMultiLvlLbl val="0"/>
      </c:catAx>
      <c:valAx>
        <c:axId val="4417799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2860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Favorite</a:t>
            </a:r>
            <a:r>
              <a:rPr lang="en-US" baseline="0"/>
              <a:t> App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'Exploratory Data Analysis'!$D$57</c:f>
              <c:strCache>
                <c:ptCount val="1"/>
                <c:pt idx="0">
                  <c:v>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'Exploratory Data Analysis'!$B$58:$B$61</c:f>
              <c:strCache>
                <c:ptCount val="4"/>
                <c:pt idx="0">
                  <c:v>easypaisa</c:v>
                </c:pt>
                <c:pt idx="1">
                  <c:v>sadapay</c:v>
                </c:pt>
                <c:pt idx="2">
                  <c:v>nayapay</c:v>
                </c:pt>
                <c:pt idx="3">
                  <c:v>jazzcash</c:v>
                </c:pt>
              </c:strCache>
            </c:strRef>
          </c:cat>
          <c:val>
            <c:numRef>
              <c:f>'Exploratory Data Analysis'!$D$58:$D$61</c:f>
              <c:numCache>
                <c:formatCode>0%</c:formatCode>
                <c:ptCount val="4"/>
                <c:pt idx="0">
                  <c:v>0.28666666666666668</c:v>
                </c:pt>
                <c:pt idx="1">
                  <c:v>0.12</c:v>
                </c:pt>
                <c:pt idx="2">
                  <c:v>0.16</c:v>
                </c:pt>
                <c:pt idx="3">
                  <c:v>0.43333333333333335</c:v>
                </c:pt>
              </c:numCache>
            </c:numRef>
          </c:val>
          <c:extLst>
            <c:ext xmlns:c16="http://schemas.microsoft.com/office/drawing/2014/chart" uri="{C3380CC4-5D6E-409C-BE32-E72D297353CC}">
              <c16:uniqueId val="{00000000-5F17-4FA5-9488-AA57DD360054}"/>
            </c:ext>
          </c:extLst>
        </c:ser>
        <c:dLbls>
          <c:dLblPos val="outEnd"/>
          <c:showLegendKey val="0"/>
          <c:showVal val="1"/>
          <c:showCatName val="0"/>
          <c:showSerName val="0"/>
          <c:showPercent val="0"/>
          <c:showBubbleSize val="0"/>
        </c:dLbls>
        <c:gapWidth val="115"/>
        <c:overlap val="-20"/>
        <c:axId val="1512644719"/>
        <c:axId val="392728800"/>
      </c:barChart>
      <c:catAx>
        <c:axId val="15126447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728800"/>
        <c:crosses val="autoZero"/>
        <c:auto val="1"/>
        <c:lblAlgn val="ctr"/>
        <c:lblOffset val="100"/>
        <c:noMultiLvlLbl val="0"/>
      </c:catAx>
      <c:valAx>
        <c:axId val="39272880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64471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SINGLE_RESPONSES!$E$155</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E6-46A7-B5C4-2D7C275629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E6-46A7-B5C4-2D7C275629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E6-46A7-B5C4-2D7C275629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SINGLE_RESPONSES!$B$156:$B$158</c:f>
            </c:multiLvlStrRef>
          </c:cat>
          <c:val>
            <c:numRef>
              <c:f>SINGLE_RESPONSES!$E$156:$E$158</c:f>
            </c:numRef>
          </c:val>
          <c:extLst>
            <c:ext xmlns:c16="http://schemas.microsoft.com/office/drawing/2014/chart" uri="{C3380CC4-5D6E-409C-BE32-E72D297353CC}">
              <c16:uniqueId val="{00000000-F9E0-4ED3-84B1-33097E760C3C}"/>
            </c:ext>
          </c:extLst>
        </c:ser>
        <c:ser>
          <c:idx val="1"/>
          <c:order val="1"/>
          <c:tx>
            <c:strRef>
              <c:f>SINGLE_RESPONSES!$E$155</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E6-46A7-B5C4-2D7C275629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8E6-46A7-B5C4-2D7C275629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8E6-46A7-B5C4-2D7C275629C4}"/>
              </c:ext>
            </c:extLst>
          </c:dPt>
          <c:cat>
            <c:multiLvlStrRef>
              <c:f>SINGLE_RESPONSES!$B$156:$B$158</c:f>
            </c:multiLvlStrRef>
          </c:cat>
          <c:val>
            <c:numRef>
              <c:f>SINGLE_RESPONSES!$E$156:$E$158</c:f>
            </c:numRef>
          </c:val>
          <c:extLst>
            <c:ext xmlns:c16="http://schemas.microsoft.com/office/drawing/2014/chart" uri="{C3380CC4-5D6E-409C-BE32-E72D297353CC}">
              <c16:uniqueId val="{00000001-F9E0-4ED3-84B1-33097E760C3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TOMA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spPr>
            <a:solidFill>
              <a:schemeClr val="accent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SINGLE_RESPONSES!$H$156:$H$159</c:f>
            </c:multiLvlStrRef>
          </c:cat>
          <c:val>
            <c:numRef>
              <c:f>SINGLE_RESPONSES!$J$156:$J$159</c:f>
            </c:numRef>
          </c:val>
          <c:extLst>
            <c:ext xmlns:c16="http://schemas.microsoft.com/office/drawing/2014/chart" uri="{C3380CC4-5D6E-409C-BE32-E72D297353CC}">
              <c16:uniqueId val="{00000000-C294-42F8-9095-B664822243D1}"/>
            </c:ext>
          </c:extLst>
        </c:ser>
        <c:dLbls>
          <c:dLblPos val="ctr"/>
          <c:showLegendKey val="0"/>
          <c:showVal val="1"/>
          <c:showCatName val="0"/>
          <c:showSerName val="0"/>
          <c:showPercent val="0"/>
          <c:showBubbleSize val="0"/>
        </c:dLbls>
        <c:gapWidth val="150"/>
        <c:overlap val="100"/>
        <c:axId val="1072001727"/>
        <c:axId val="1071994527"/>
      </c:barChart>
      <c:catAx>
        <c:axId val="1072001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994527"/>
        <c:crosses val="autoZero"/>
        <c:auto val="1"/>
        <c:lblAlgn val="ctr"/>
        <c:lblOffset val="100"/>
        <c:noMultiLvlLbl val="0"/>
      </c:catAx>
      <c:valAx>
        <c:axId val="107199452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2001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Awareness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SINGLE_RESPONSES!$G$185:$G$188</c:f>
            </c:multiLvlStrRef>
          </c:cat>
          <c:val>
            <c:numRef>
              <c:f>SINGLE_RESPONSES!$I$185:$I$188</c:f>
            </c:numRef>
          </c:val>
          <c:extLst>
            <c:ext xmlns:c16="http://schemas.microsoft.com/office/drawing/2014/chart" uri="{C3380CC4-5D6E-409C-BE32-E72D297353CC}">
              <c16:uniqueId val="{00000000-CA74-426D-8E2C-CC14E0733D9C}"/>
            </c:ext>
          </c:extLst>
        </c:ser>
        <c:dLbls>
          <c:dLblPos val="outEnd"/>
          <c:showLegendKey val="0"/>
          <c:showVal val="1"/>
          <c:showCatName val="0"/>
          <c:showSerName val="0"/>
          <c:showPercent val="0"/>
          <c:showBubbleSize val="0"/>
        </c:dLbls>
        <c:gapWidth val="100"/>
        <c:overlap val="-24"/>
        <c:axId val="1120583327"/>
        <c:axId val="1120568447"/>
      </c:barChart>
      <c:catAx>
        <c:axId val="1120583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568447"/>
        <c:crosses val="autoZero"/>
        <c:auto val="1"/>
        <c:lblAlgn val="ctr"/>
        <c:lblOffset val="100"/>
        <c:noMultiLvlLbl val="0"/>
      </c:catAx>
      <c:valAx>
        <c:axId val="112056844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58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Using Since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SINGLE_RESPONSES!$I$217:$I$223</c:f>
            </c:numRef>
          </c:val>
          <c:extLst>
            <c:ext xmlns:c16="http://schemas.microsoft.com/office/drawing/2014/chart" uri="{C3380CC4-5D6E-409C-BE32-E72D297353CC}">
              <c16:uniqueId val="{00000000-0AE2-4D80-AA33-97E124626384}"/>
            </c:ext>
          </c:extLst>
        </c:ser>
        <c:dLbls>
          <c:dLblPos val="outEnd"/>
          <c:showLegendKey val="0"/>
          <c:showVal val="1"/>
          <c:showCatName val="0"/>
          <c:showSerName val="0"/>
          <c:showPercent val="0"/>
          <c:showBubbleSize val="0"/>
        </c:dLbls>
        <c:gapWidth val="100"/>
        <c:overlap val="-24"/>
        <c:axId val="1120533407"/>
        <c:axId val="1120519967"/>
      </c:barChart>
      <c:catAx>
        <c:axId val="1120533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519967"/>
        <c:crosses val="autoZero"/>
        <c:auto val="1"/>
        <c:lblAlgn val="ctr"/>
        <c:lblOffset val="100"/>
        <c:noMultiLvlLbl val="0"/>
      </c:catAx>
      <c:valAx>
        <c:axId val="11205199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53340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Awareness</cx:v>
        </cx:txData>
      </cx:tx>
      <cx:txPr>
        <a:bodyPr spcFirstLastPara="1" vertOverflow="ellipsis" horzOverflow="overflow" wrap="square" lIns="0" tIns="0" rIns="0" bIns="0" anchor="ctr" anchorCtr="1"/>
        <a:lstStyle/>
        <a:p>
          <a:pPr algn="ctr" rtl="0">
            <a:defRPr/>
          </a:pPr>
          <a:r>
            <a:rPr lang="en-GB" sz="1600" b="1" i="0" u="none" strike="noStrike" spc="100" baseline="0">
              <a:solidFill>
                <a:srgbClr val="FFFFFF">
                  <a:lumMod val="95000"/>
                </a:srgbClr>
              </a:solidFill>
              <a:effectLst>
                <a:outerShdw blurRad="50800" dist="38100" dir="5400000" algn="t" rotWithShape="0">
                  <a:prstClr val="black">
                    <a:alpha val="40000"/>
                  </a:prstClr>
                </a:outerShdw>
              </a:effectLst>
              <a:latin typeface="Arial"/>
              <a:cs typeface="Arial"/>
            </a:rPr>
            <a:t>Awareness</a:t>
          </a:r>
        </a:p>
      </cx:txPr>
    </cx:title>
    <cx:plotArea>
      <cx:plotAreaRegion>
        <cx:series layoutId="funnel" uniqueId="{A3DAE50D-53D6-46DF-9568-61EAA1495C9A}">
          <cx:dataLabels>
            <cx:txPr>
              <a:bodyPr spcFirstLastPara="1" vertOverflow="ellipsis" horzOverflow="overflow" wrap="square" lIns="0" tIns="0" rIns="0" bIns="0" anchor="ctr" anchorCtr="1"/>
              <a:lstStyle/>
              <a:p>
                <a:pPr algn="ctr" rtl="0">
                  <a:defRPr baseline="0">
                    <a:solidFill>
                      <a:schemeClr val="bg1"/>
                    </a:solidFill>
                  </a:defRPr>
                </a:pPr>
                <a:endParaRPr lang="en-GB" sz="900" b="0" i="0" u="none" strike="noStrike" baseline="0">
                  <a:solidFill>
                    <a:schemeClr val="bg1"/>
                  </a:solidFill>
                  <a:latin typeface="Arial"/>
                  <a:cs typeface="Arial"/>
                </a:endParaRPr>
              </a:p>
            </cx:txPr>
            <cx:visibility seriesName="0" categoryName="0" value="1"/>
          </cx:dataLabels>
          <cx:dataId val="0"/>
        </cx:series>
      </cx:plotAreaRegion>
      <cx:axis id="0">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Conversion Funnel</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Arial"/>
              <a:cs typeface="Arial"/>
            </a:rPr>
            <a:t>Conversion Funnel</a:t>
          </a:r>
        </a:p>
      </cx:txPr>
    </cx:title>
    <cx:plotArea>
      <cx:plotAreaRegion>
        <cx:series layoutId="funnel" uniqueId="{00000005-BD77-4E30-8EB6-51BD5EDEF5BE}">
          <cx:dataId val="0"/>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215900</xdr:colOff>
      <xdr:row>5</xdr:row>
      <xdr:rowOff>142875</xdr:rowOff>
    </xdr:from>
    <xdr:to>
      <xdr:col>9</xdr:col>
      <xdr:colOff>577850</xdr:colOff>
      <xdr:row>17</xdr:row>
      <xdr:rowOff>76200</xdr:rowOff>
    </xdr:to>
    <xdr:graphicFrame macro="">
      <xdr:nvGraphicFramePr>
        <xdr:cNvPr id="2" name="Chart 1">
          <a:extLst>
            <a:ext uri="{FF2B5EF4-FFF2-40B4-BE49-F238E27FC236}">
              <a16:creationId xmlns:a16="http://schemas.microsoft.com/office/drawing/2014/main" id="{CA40A8B2-4399-E201-D879-56514A13F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254000</xdr:colOff>
      <xdr:row>22</xdr:row>
      <xdr:rowOff>142875</xdr:rowOff>
    </xdr:from>
    <xdr:to>
      <xdr:col>10</xdr:col>
      <xdr:colOff>38100</xdr:colOff>
      <xdr:row>35</xdr:row>
      <xdr:rowOff>50800</xdr:rowOff>
    </xdr:to>
    <xdr:graphicFrame macro="">
      <xdr:nvGraphicFramePr>
        <xdr:cNvPr id="7" name="Chart 6">
          <a:extLst>
            <a:ext uri="{FF2B5EF4-FFF2-40B4-BE49-F238E27FC236}">
              <a16:creationId xmlns:a16="http://schemas.microsoft.com/office/drawing/2014/main" id="{7480FBBB-171D-DD1B-9B43-156E70E1E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298450</xdr:colOff>
      <xdr:row>39</xdr:row>
      <xdr:rowOff>130175</xdr:rowOff>
    </xdr:from>
    <xdr:to>
      <xdr:col>10</xdr:col>
      <xdr:colOff>69850</xdr:colOff>
      <xdr:row>51</xdr:row>
      <xdr:rowOff>12700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29E3430-5F3F-5B19-8847-0CA4D22A59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737100" y="6365875"/>
              <a:ext cx="3035300" cy="18129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289214</xdr:colOff>
      <xdr:row>54</xdr:row>
      <xdr:rowOff>135370</xdr:rowOff>
    </xdr:from>
    <xdr:to>
      <xdr:col>10</xdr:col>
      <xdr:colOff>165100</xdr:colOff>
      <xdr:row>67</xdr:row>
      <xdr:rowOff>11545</xdr:rowOff>
    </xdr:to>
    <xdr:graphicFrame macro="">
      <xdr:nvGraphicFramePr>
        <xdr:cNvPr id="9" name="Chart 8">
          <a:extLst>
            <a:ext uri="{FF2B5EF4-FFF2-40B4-BE49-F238E27FC236}">
              <a16:creationId xmlns:a16="http://schemas.microsoft.com/office/drawing/2014/main" id="{BFD67A55-A284-6126-FB01-6FBFC12CB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36285</xdr:colOff>
      <xdr:row>16</xdr:row>
      <xdr:rowOff>69850</xdr:rowOff>
    </xdr:from>
    <xdr:to>
      <xdr:col>15</xdr:col>
      <xdr:colOff>442685</xdr:colOff>
      <xdr:row>33</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F6A3571-6D92-A8AF-BF49-E0474FB17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05435" y="2609850"/>
              <a:ext cx="45783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1330325</xdr:colOff>
      <xdr:row>158</xdr:row>
      <xdr:rowOff>126999</xdr:rowOff>
    </xdr:from>
    <xdr:to>
      <xdr:col>5</xdr:col>
      <xdr:colOff>450850</xdr:colOff>
      <xdr:row>172</xdr:row>
      <xdr:rowOff>28574</xdr:rowOff>
    </xdr:to>
    <xdr:graphicFrame macro="">
      <xdr:nvGraphicFramePr>
        <xdr:cNvPr id="3" name="Chart 2">
          <a:extLst>
            <a:ext uri="{FF2B5EF4-FFF2-40B4-BE49-F238E27FC236}">
              <a16:creationId xmlns:a16="http://schemas.microsoft.com/office/drawing/2014/main" id="{D31E2E72-FED5-D18B-AA5A-39CA71171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518271</xdr:colOff>
      <xdr:row>152</xdr:row>
      <xdr:rowOff>12887</xdr:rowOff>
    </xdr:from>
    <xdr:to>
      <xdr:col>11</xdr:col>
      <xdr:colOff>3683000</xdr:colOff>
      <xdr:row>169</xdr:row>
      <xdr:rowOff>149410</xdr:rowOff>
    </xdr:to>
    <xdr:graphicFrame macro="">
      <xdr:nvGraphicFramePr>
        <xdr:cNvPr id="5" name="Chart 4">
          <a:extLst>
            <a:ext uri="{FF2B5EF4-FFF2-40B4-BE49-F238E27FC236}">
              <a16:creationId xmlns:a16="http://schemas.microsoft.com/office/drawing/2014/main" id="{555F7502-D056-48E4-D6FF-F1AD5C881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424889</xdr:colOff>
      <xdr:row>180</xdr:row>
      <xdr:rowOff>138953</xdr:rowOff>
    </xdr:from>
    <xdr:to>
      <xdr:col>11</xdr:col>
      <xdr:colOff>3802529</xdr:colOff>
      <xdr:row>191</xdr:row>
      <xdr:rowOff>7471</xdr:rowOff>
    </xdr:to>
    <xdr:graphicFrame macro="">
      <xdr:nvGraphicFramePr>
        <xdr:cNvPr id="6" name="Chart 5">
          <a:extLst>
            <a:ext uri="{FF2B5EF4-FFF2-40B4-BE49-F238E27FC236}">
              <a16:creationId xmlns:a16="http://schemas.microsoft.com/office/drawing/2014/main" id="{BF68729F-700E-370F-ABAE-6124E5FFD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242793</xdr:colOff>
      <xdr:row>214</xdr:row>
      <xdr:rowOff>89646</xdr:rowOff>
    </xdr:from>
    <xdr:to>
      <xdr:col>11</xdr:col>
      <xdr:colOff>1897530</xdr:colOff>
      <xdr:row>224</xdr:row>
      <xdr:rowOff>74706</xdr:rowOff>
    </xdr:to>
    <xdr:graphicFrame macro="">
      <xdr:nvGraphicFramePr>
        <xdr:cNvPr id="7" name="Chart 6">
          <a:extLst>
            <a:ext uri="{FF2B5EF4-FFF2-40B4-BE49-F238E27FC236}">
              <a16:creationId xmlns:a16="http://schemas.microsoft.com/office/drawing/2014/main" id="{2424B8AA-A754-25C6-8799-2FAB6E899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c6d8ccc2bcf8817/Desktop/copy_asli_marketing.xlsx" TargetMode="External"/><Relationship Id="rId1" Type="http://schemas.openxmlformats.org/officeDocument/2006/relationships/externalLinkPath" Target="copy_asli_mark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son_to_switch_&amp;_keepusing"/>
      <sheetName val="Analysis for alternate apps"/>
      <sheetName val="Original"/>
      <sheetName val="Sheet1"/>
      <sheetName val="Table4"/>
      <sheetName val="experiment"/>
    </sheetNames>
    <sheetDataSet>
      <sheetData sheetId="0">
        <row r="2">
          <cell r="D2" t="str">
            <v>easypaisa</v>
          </cell>
          <cell r="G2" t="str">
            <v>Trust issues</v>
          </cell>
          <cell r="H2" t="str">
            <v>4</v>
          </cell>
        </row>
        <row r="3">
          <cell r="D3" t="str">
            <v>easypaisa</v>
          </cell>
          <cell r="G3" t="str">
            <v>Not Switched</v>
          </cell>
          <cell r="H3" t="str">
            <v>7</v>
          </cell>
          <cell r="K3" t="str">
            <v>Better UX</v>
          </cell>
        </row>
        <row r="4">
          <cell r="D4" t="str">
            <v>sadapay</v>
          </cell>
          <cell r="G4" t="str">
            <v>Better UX</v>
          </cell>
          <cell r="H4" t="str">
            <v>7</v>
          </cell>
          <cell r="K4" t="str">
            <v>Better UX</v>
          </cell>
        </row>
        <row r="5">
          <cell r="D5" t="str">
            <v>easypaisa</v>
          </cell>
          <cell r="G5" t="str">
            <v>Better Features</v>
          </cell>
          <cell r="H5" t="str">
            <v>7</v>
          </cell>
          <cell r="K5" t="str">
            <v>Ecosystem Advantage</v>
          </cell>
        </row>
        <row r="6">
          <cell r="D6" t="str">
            <v>easypaisa</v>
          </cell>
          <cell r="G6" t="str">
            <v>Poor Customer Services</v>
          </cell>
          <cell r="H6" t="str">
            <v>7</v>
          </cell>
          <cell r="K6" t="str">
            <v>Performance</v>
          </cell>
        </row>
        <row r="7">
          <cell r="D7" t="str">
            <v>easypaisa</v>
          </cell>
          <cell r="G7" t="str">
            <v>Technical Failures</v>
          </cell>
          <cell r="H7" t="str">
            <v>7</v>
          </cell>
          <cell r="K7" t="str">
            <v>Better UX</v>
          </cell>
        </row>
        <row r="8">
          <cell r="D8" t="str">
            <v>easypaisa</v>
          </cell>
          <cell r="G8" t="str">
            <v>Not Switched</v>
          </cell>
          <cell r="H8" t="str">
            <v>4</v>
          </cell>
          <cell r="K8" t="str">
            <v>Better UX</v>
          </cell>
        </row>
        <row r="9">
          <cell r="D9" t="str">
            <v>nayapay</v>
          </cell>
          <cell r="G9" t="str">
            <v>Not Switched</v>
          </cell>
          <cell r="H9" t="str">
            <v>6</v>
          </cell>
          <cell r="K9" t="str">
            <v>Better UX</v>
          </cell>
        </row>
        <row r="10">
          <cell r="D10" t="str">
            <v>jazzcash</v>
          </cell>
          <cell r="G10" t="str">
            <v>Not Switched</v>
          </cell>
          <cell r="H10" t="str">
            <v>7</v>
          </cell>
          <cell r="K10" t="str">
            <v>Better UX</v>
          </cell>
        </row>
        <row r="11">
          <cell r="D11" t="str">
            <v>sadapay</v>
          </cell>
          <cell r="G11" t="str">
            <v>Technical Failures</v>
          </cell>
          <cell r="H11" t="str">
            <v>7</v>
          </cell>
          <cell r="K11" t="str">
            <v>Better features</v>
          </cell>
        </row>
        <row r="12">
          <cell r="D12" t="str">
            <v>jazzcash</v>
          </cell>
          <cell r="G12" t="str">
            <v>Performance</v>
          </cell>
          <cell r="H12" t="str">
            <v>7</v>
          </cell>
          <cell r="K12" t="str">
            <v>Better UX</v>
          </cell>
        </row>
        <row r="13">
          <cell r="D13" t="str">
            <v>easypaisa</v>
          </cell>
          <cell r="G13" t="str">
            <v>Good Customer Services</v>
          </cell>
          <cell r="H13" t="str">
            <v>7</v>
          </cell>
          <cell r="K13" t="str">
            <v>Better UX</v>
          </cell>
        </row>
        <row r="14">
          <cell r="D14" t="str">
            <v>nayapay</v>
          </cell>
          <cell r="G14" t="str">
            <v>Not Switched</v>
          </cell>
          <cell r="H14" t="str">
            <v>6</v>
          </cell>
          <cell r="K14" t="str">
            <v>Better Features</v>
          </cell>
        </row>
        <row r="15">
          <cell r="D15" t="str">
            <v>jazzcash</v>
          </cell>
          <cell r="G15" t="str">
            <v>Account Access Issues</v>
          </cell>
          <cell r="H15" t="str">
            <v>7</v>
          </cell>
          <cell r="K15" t="str">
            <v>Other</v>
          </cell>
        </row>
        <row r="16">
          <cell r="D16" t="str">
            <v>jazzcash</v>
          </cell>
          <cell r="G16" t="str">
            <v>Not Switched</v>
          </cell>
          <cell r="H16" t="str">
            <v>4</v>
          </cell>
          <cell r="K16" t="str">
            <v>Better UX</v>
          </cell>
        </row>
        <row r="17">
          <cell r="D17" t="str">
            <v>sadapay</v>
          </cell>
          <cell r="G17" t="str">
            <v>Better UX</v>
          </cell>
          <cell r="H17" t="e">
            <v>#N/A</v>
          </cell>
          <cell r="K17" t="str">
            <v>Better UX</v>
          </cell>
        </row>
        <row r="18">
          <cell r="D18" t="str">
            <v>jazzcash</v>
          </cell>
          <cell r="G18" t="str">
            <v>Trust issues</v>
          </cell>
          <cell r="H18" t="str">
            <v>4</v>
          </cell>
          <cell r="K18" t="str">
            <v>Ecosystem Advantage</v>
          </cell>
        </row>
        <row r="19">
          <cell r="D19" t="str">
            <v>easypaisa</v>
          </cell>
          <cell r="G19" t="str">
            <v>Explore</v>
          </cell>
          <cell r="H19" t="str">
            <v>7</v>
          </cell>
          <cell r="K19" t="str">
            <v>Better UX</v>
          </cell>
        </row>
        <row r="20">
          <cell r="D20" t="str">
            <v>jazzcash</v>
          </cell>
          <cell r="G20" t="str">
            <v>Not Switched</v>
          </cell>
          <cell r="H20" t="e">
            <v>#N/A</v>
          </cell>
          <cell r="K20" t="str">
            <v>Better Features</v>
          </cell>
        </row>
        <row r="21">
          <cell r="D21" t="str">
            <v>jazzcash</v>
          </cell>
          <cell r="G21" t="str">
            <v>Not Switched</v>
          </cell>
          <cell r="H21" t="str">
            <v>7</v>
          </cell>
          <cell r="K21" t="str">
            <v>Better UX</v>
          </cell>
        </row>
        <row r="22">
          <cell r="D22" t="str">
            <v>jazzcash</v>
          </cell>
          <cell r="G22" t="str">
            <v>Not Switched</v>
          </cell>
          <cell r="H22" t="str">
            <v>7</v>
          </cell>
          <cell r="K22" t="str">
            <v>Better UX</v>
          </cell>
        </row>
        <row r="23">
          <cell r="D23" t="str">
            <v>jazzcash</v>
          </cell>
          <cell r="G23" t="str">
            <v>Not Switched</v>
          </cell>
          <cell r="H23" t="str">
            <v>7</v>
          </cell>
          <cell r="K23" t="str">
            <v>Ecosystem Advantage</v>
          </cell>
        </row>
        <row r="24">
          <cell r="D24" t="str">
            <v>jazzcash</v>
          </cell>
          <cell r="G24" t="str">
            <v>Better UX</v>
          </cell>
          <cell r="H24" t="str">
            <v>2</v>
          </cell>
          <cell r="K24" t="str">
            <v>Better UX</v>
          </cell>
        </row>
        <row r="25">
          <cell r="D25" t="str">
            <v>easypaisa</v>
          </cell>
          <cell r="G25" t="str">
            <v>Not Switched</v>
          </cell>
          <cell r="H25" t="str">
            <v>4</v>
          </cell>
          <cell r="K25" t="str">
            <v>Better Features</v>
          </cell>
        </row>
        <row r="26">
          <cell r="D26" t="str">
            <v>jazzcash</v>
          </cell>
          <cell r="G26" t="str">
            <v>Not Switched</v>
          </cell>
          <cell r="H26" t="str">
            <v>7</v>
          </cell>
          <cell r="K26" t="str">
            <v>Better UX</v>
          </cell>
        </row>
        <row r="27">
          <cell r="D27" t="str">
            <v>jazzcash</v>
          </cell>
          <cell r="G27" t="str">
            <v>Explore</v>
          </cell>
          <cell r="H27" t="str">
            <v>7</v>
          </cell>
          <cell r="K27" t="str">
            <v>Better UX</v>
          </cell>
        </row>
        <row r="28">
          <cell r="D28" t="str">
            <v>easypaisa</v>
          </cell>
          <cell r="G28" t="str">
            <v>Explore</v>
          </cell>
          <cell r="H28" t="str">
            <v>1</v>
          </cell>
          <cell r="K28" t="str">
            <v>Explore</v>
          </cell>
        </row>
        <row r="29">
          <cell r="D29" t="str">
            <v>easypaisa</v>
          </cell>
          <cell r="G29" t="str">
            <v>Not Switched</v>
          </cell>
          <cell r="H29" t="str">
            <v>4</v>
          </cell>
          <cell r="K29" t="str">
            <v>Greater Trust</v>
          </cell>
        </row>
        <row r="30">
          <cell r="D30" t="str">
            <v>jazzcash</v>
          </cell>
          <cell r="G30" t="str">
            <v>Not Switched</v>
          </cell>
          <cell r="H30" t="str">
            <v>4</v>
          </cell>
          <cell r="K30" t="str">
            <v>Other</v>
          </cell>
        </row>
        <row r="31">
          <cell r="D31" t="str">
            <v>sadapay</v>
          </cell>
          <cell r="G31" t="str">
            <v>Technical Failures</v>
          </cell>
          <cell r="H31" t="str">
            <v>7</v>
          </cell>
          <cell r="K31" t="str">
            <v>Better Features</v>
          </cell>
        </row>
        <row r="32">
          <cell r="D32" t="str">
            <v>jazzcash</v>
          </cell>
          <cell r="G32" t="str">
            <v>Not Switched</v>
          </cell>
          <cell r="H32" t="str">
            <v>7</v>
          </cell>
          <cell r="K32" t="str">
            <v>Better UX</v>
          </cell>
        </row>
        <row r="33">
          <cell r="D33" t="str">
            <v>sadapay</v>
          </cell>
          <cell r="G33" t="str">
            <v>Trust issues</v>
          </cell>
          <cell r="H33" t="str">
            <v>7</v>
          </cell>
          <cell r="K33" t="str">
            <v>Better UX</v>
          </cell>
        </row>
        <row r="34">
          <cell r="D34" t="str">
            <v>sadapay</v>
          </cell>
          <cell r="G34" t="str">
            <v>Not Switched</v>
          </cell>
          <cell r="H34" t="str">
            <v>7</v>
          </cell>
          <cell r="K34" t="str">
            <v>Better UX</v>
          </cell>
        </row>
        <row r="35">
          <cell r="D35" t="str">
            <v>jazzcash</v>
          </cell>
          <cell r="G35" t="str">
            <v>Better UX</v>
          </cell>
          <cell r="H35" t="str">
            <v>7</v>
          </cell>
          <cell r="K35" t="str">
            <v>Ecosystem Advantage</v>
          </cell>
        </row>
        <row r="36">
          <cell r="D36" t="str">
            <v>easypaisa</v>
          </cell>
          <cell r="G36" t="str">
            <v>Not Switched</v>
          </cell>
          <cell r="H36" t="str">
            <v>7</v>
          </cell>
          <cell r="K36" t="str">
            <v>Good Customer Service</v>
          </cell>
        </row>
        <row r="37">
          <cell r="D37" t="str">
            <v>jazzcash</v>
          </cell>
          <cell r="G37" t="str">
            <v>Not Switched</v>
          </cell>
          <cell r="H37" t="str">
            <v>4</v>
          </cell>
          <cell r="K37" t="str">
            <v>Performance</v>
          </cell>
        </row>
        <row r="38">
          <cell r="D38" t="str">
            <v>jazzcash</v>
          </cell>
          <cell r="G38" t="str">
            <v>Not Switched</v>
          </cell>
          <cell r="H38" t="str">
            <v>7</v>
          </cell>
          <cell r="K38" t="str">
            <v>Better UX</v>
          </cell>
        </row>
        <row r="39">
          <cell r="D39" t="str">
            <v>jazzcash</v>
          </cell>
          <cell r="G39" t="str">
            <v>Ecosystem Advantage</v>
          </cell>
          <cell r="H39" t="str">
            <v>6</v>
          </cell>
          <cell r="K39" t="str">
            <v>Explore</v>
          </cell>
        </row>
        <row r="40">
          <cell r="D40" t="str">
            <v>nayapay</v>
          </cell>
          <cell r="G40" t="str">
            <v>Explore</v>
          </cell>
          <cell r="H40" t="str">
            <v>7</v>
          </cell>
          <cell r="K40" t="str">
            <v>Better UX</v>
          </cell>
        </row>
        <row r="41">
          <cell r="D41" t="str">
            <v>nayapay</v>
          </cell>
          <cell r="G41" t="str">
            <v>Not Switched</v>
          </cell>
          <cell r="H41" t="str">
            <v>7</v>
          </cell>
          <cell r="K41" t="str">
            <v>Better UX</v>
          </cell>
        </row>
        <row r="42">
          <cell r="D42" t="str">
            <v>easypaisa</v>
          </cell>
          <cell r="G42" t="str">
            <v>Not Switched</v>
          </cell>
          <cell r="H42" t="str">
            <v>2</v>
          </cell>
          <cell r="K42" t="str">
            <v>Better UX</v>
          </cell>
        </row>
        <row r="43">
          <cell r="D43" t="str">
            <v>jazzcash</v>
          </cell>
          <cell r="G43" t="str">
            <v>Better Features</v>
          </cell>
          <cell r="H43" t="str">
            <v>7</v>
          </cell>
          <cell r="K43" t="str">
            <v>Better Features</v>
          </cell>
        </row>
        <row r="44">
          <cell r="D44" t="str">
            <v>jazzcash</v>
          </cell>
          <cell r="G44" t="str">
            <v>Explore</v>
          </cell>
          <cell r="H44" t="str">
            <v>7</v>
          </cell>
          <cell r="K44" t="str">
            <v>Better UX</v>
          </cell>
        </row>
        <row r="45">
          <cell r="D45" t="str">
            <v>jazzcash</v>
          </cell>
          <cell r="G45" t="str">
            <v>Explore</v>
          </cell>
          <cell r="H45" t="str">
            <v>7</v>
          </cell>
          <cell r="K45" t="str">
            <v>Better UX</v>
          </cell>
        </row>
        <row r="46">
          <cell r="D46" t="str">
            <v>easypaisa</v>
          </cell>
          <cell r="G46" t="str">
            <v>Not Switched</v>
          </cell>
          <cell r="H46" t="str">
            <v>6</v>
          </cell>
          <cell r="K46" t="str">
            <v>Ecosystem Advantage</v>
          </cell>
        </row>
        <row r="47">
          <cell r="D47" t="str">
            <v>jazzcash</v>
          </cell>
          <cell r="G47" t="str">
            <v>Performance</v>
          </cell>
          <cell r="H47" t="str">
            <v>7</v>
          </cell>
          <cell r="K47" t="str">
            <v>Better Features</v>
          </cell>
        </row>
        <row r="48">
          <cell r="D48" t="str">
            <v>easypaisa</v>
          </cell>
          <cell r="G48" t="str">
            <v>Better UX</v>
          </cell>
          <cell r="H48" t="str">
            <v>2</v>
          </cell>
          <cell r="K48" t="str">
            <v>Greater Trust</v>
          </cell>
        </row>
        <row r="49">
          <cell r="D49" t="str">
            <v>easypaisa</v>
          </cell>
          <cell r="G49" t="str">
            <v>Not Switched</v>
          </cell>
          <cell r="H49" t="str">
            <v>4</v>
          </cell>
          <cell r="K49" t="str">
            <v>Performance</v>
          </cell>
        </row>
        <row r="50">
          <cell r="D50" t="str">
            <v>easypaisa</v>
          </cell>
          <cell r="G50" t="str">
            <v>Not Switched</v>
          </cell>
          <cell r="H50" t="str">
            <v>7</v>
          </cell>
          <cell r="K50" t="str">
            <v>Better UX</v>
          </cell>
        </row>
        <row r="51">
          <cell r="D51" t="str">
            <v>easypaisa</v>
          </cell>
          <cell r="G51" t="str">
            <v>Explore</v>
          </cell>
          <cell r="H51" t="str">
            <v>7</v>
          </cell>
          <cell r="K51" t="str">
            <v>Better UX</v>
          </cell>
        </row>
        <row r="52">
          <cell r="D52" t="str">
            <v>sadapay</v>
          </cell>
          <cell r="G52" t="str">
            <v>Explore</v>
          </cell>
          <cell r="H52" t="str">
            <v>7</v>
          </cell>
          <cell r="K52" t="str">
            <v>Better UX</v>
          </cell>
        </row>
        <row r="53">
          <cell r="D53" t="str">
            <v>sadapay</v>
          </cell>
          <cell r="G53" t="str">
            <v>Good Customer Services</v>
          </cell>
          <cell r="H53" t="str">
            <v>7</v>
          </cell>
          <cell r="K53" t="str">
            <v>Better UX</v>
          </cell>
        </row>
        <row r="54">
          <cell r="D54" t="str">
            <v>jazzcash</v>
          </cell>
          <cell r="G54" t="str">
            <v>Better UX</v>
          </cell>
          <cell r="H54" t="str">
            <v>7</v>
          </cell>
          <cell r="K54" t="str">
            <v>Better UX</v>
          </cell>
        </row>
        <row r="55">
          <cell r="D55" t="str">
            <v>easypaisa</v>
          </cell>
          <cell r="G55" t="str">
            <v>Not Switched</v>
          </cell>
          <cell r="H55" t="str">
            <v>7</v>
          </cell>
          <cell r="K55" t="str">
            <v>Good Customer Service</v>
          </cell>
        </row>
        <row r="56">
          <cell r="D56" t="str">
            <v>jazzcash</v>
          </cell>
          <cell r="G56" t="str">
            <v>Not Switched</v>
          </cell>
          <cell r="H56" t="str">
            <v>6</v>
          </cell>
          <cell r="K56" t="str">
            <v>Ecosystem Advantage</v>
          </cell>
        </row>
        <row r="57">
          <cell r="D57" t="str">
            <v>sadapay</v>
          </cell>
          <cell r="G57" t="str">
            <v>Explore</v>
          </cell>
          <cell r="H57" t="str">
            <v>7</v>
          </cell>
          <cell r="K57" t="str">
            <v>Explore</v>
          </cell>
        </row>
        <row r="58">
          <cell r="D58" t="str">
            <v>sadapay</v>
          </cell>
          <cell r="G58" t="str">
            <v>Better UX</v>
          </cell>
          <cell r="H58" t="str">
            <v>6</v>
          </cell>
          <cell r="K58" t="str">
            <v>Better Features</v>
          </cell>
        </row>
        <row r="59">
          <cell r="D59" t="str">
            <v>nayapay</v>
          </cell>
          <cell r="G59" t="str">
            <v>Not Switched</v>
          </cell>
          <cell r="H59" t="str">
            <v>7</v>
          </cell>
          <cell r="K59" t="str">
            <v>Better Features</v>
          </cell>
        </row>
        <row r="60">
          <cell r="D60" t="str">
            <v>jazzcash</v>
          </cell>
          <cell r="G60" t="str">
            <v>Not Switched</v>
          </cell>
          <cell r="H60" t="str">
            <v>7</v>
          </cell>
          <cell r="K60" t="str">
            <v>Performance</v>
          </cell>
        </row>
        <row r="61">
          <cell r="D61" t="str">
            <v>easypaisa</v>
          </cell>
          <cell r="G61" t="str">
            <v>Better Features</v>
          </cell>
          <cell r="H61" t="str">
            <v>7</v>
          </cell>
          <cell r="K61" t="str">
            <v>Performance</v>
          </cell>
        </row>
        <row r="62">
          <cell r="D62" t="str">
            <v>jazzcash</v>
          </cell>
          <cell r="G62" t="str">
            <v>Better Features</v>
          </cell>
          <cell r="H62" t="str">
            <v>7</v>
          </cell>
          <cell r="K62" t="str">
            <v>Better UX</v>
          </cell>
        </row>
        <row r="63">
          <cell r="D63" t="str">
            <v>nayapay</v>
          </cell>
          <cell r="G63" t="str">
            <v>Explore</v>
          </cell>
          <cell r="H63" t="str">
            <v>4</v>
          </cell>
          <cell r="K63" t="str">
            <v>Better UX</v>
          </cell>
        </row>
        <row r="64">
          <cell r="D64" t="str">
            <v>easypaisa</v>
          </cell>
          <cell r="G64" t="str">
            <v>Technical Failures</v>
          </cell>
          <cell r="H64" t="str">
            <v>1</v>
          </cell>
          <cell r="K64" t="str">
            <v>Performance</v>
          </cell>
        </row>
        <row r="65">
          <cell r="D65" t="str">
            <v>easypaisa</v>
          </cell>
          <cell r="G65" t="str">
            <v>Better UX</v>
          </cell>
          <cell r="H65" t="str">
            <v>4</v>
          </cell>
          <cell r="K65" t="str">
            <v>Better UX</v>
          </cell>
        </row>
        <row r="66">
          <cell r="D66" t="str">
            <v>jazzcash</v>
          </cell>
          <cell r="G66" t="str">
            <v>Better UX</v>
          </cell>
          <cell r="H66" t="str">
            <v>4</v>
          </cell>
          <cell r="K66" t="str">
            <v>Performance</v>
          </cell>
        </row>
        <row r="67">
          <cell r="D67" t="str">
            <v>jazzcash</v>
          </cell>
          <cell r="G67" t="str">
            <v>Good Customer Services</v>
          </cell>
          <cell r="H67" t="str">
            <v>4</v>
          </cell>
          <cell r="K67" t="str">
            <v>Better UX</v>
          </cell>
        </row>
        <row r="68">
          <cell r="D68" t="str">
            <v>jazzcash</v>
          </cell>
          <cell r="G68" t="str">
            <v>Not Switched</v>
          </cell>
          <cell r="H68" t="str">
            <v>7</v>
          </cell>
          <cell r="K68" t="str">
            <v>Good Customer Service</v>
          </cell>
        </row>
        <row r="69">
          <cell r="D69" t="str">
            <v>jazzcash</v>
          </cell>
          <cell r="G69" t="str">
            <v>Account Access Issues</v>
          </cell>
          <cell r="H69" t="str">
            <v>7</v>
          </cell>
          <cell r="K69" t="str">
            <v>Better Features</v>
          </cell>
        </row>
        <row r="70">
          <cell r="D70" t="str">
            <v>easypaisa</v>
          </cell>
          <cell r="G70" t="str">
            <v>Not Switched</v>
          </cell>
          <cell r="H70" t="str">
            <v>4</v>
          </cell>
          <cell r="K70" t="str">
            <v>Other</v>
          </cell>
        </row>
        <row r="71">
          <cell r="D71" t="str">
            <v>easypaisa</v>
          </cell>
          <cell r="G71" t="str">
            <v>Technical Failures</v>
          </cell>
          <cell r="H71" t="str">
            <v>4</v>
          </cell>
          <cell r="K71" t="str">
            <v>Performance</v>
          </cell>
        </row>
        <row r="72">
          <cell r="D72" t="str">
            <v>easypaisa</v>
          </cell>
          <cell r="G72" t="str">
            <v>Not Switched</v>
          </cell>
          <cell r="H72" t="str">
            <v>7</v>
          </cell>
          <cell r="K72" t="str">
            <v>Better Features</v>
          </cell>
        </row>
        <row r="73">
          <cell r="D73" t="str">
            <v>sadapay</v>
          </cell>
          <cell r="G73" t="str">
            <v>Not Switched</v>
          </cell>
          <cell r="H73" t="str">
            <v>7</v>
          </cell>
          <cell r="K73" t="str">
            <v>Better UX</v>
          </cell>
        </row>
        <row r="74">
          <cell r="D74" t="str">
            <v>nayapay</v>
          </cell>
          <cell r="G74" t="str">
            <v>Not Switched</v>
          </cell>
          <cell r="H74" t="str">
            <v>2</v>
          </cell>
          <cell r="K74" t="str">
            <v>Better Features</v>
          </cell>
        </row>
        <row r="75">
          <cell r="D75" t="str">
            <v>jazzcash</v>
          </cell>
          <cell r="G75" t="str">
            <v>Poor Customer Services</v>
          </cell>
          <cell r="H75" t="str">
            <v>2</v>
          </cell>
          <cell r="K75" t="str">
            <v>Good Customer Service</v>
          </cell>
        </row>
        <row r="76">
          <cell r="D76" t="str">
            <v>jazzcash</v>
          </cell>
          <cell r="G76" t="str">
            <v>Better UX</v>
          </cell>
          <cell r="H76" t="str">
            <v>7</v>
          </cell>
          <cell r="K76" t="str">
            <v>Better UX</v>
          </cell>
        </row>
        <row r="77">
          <cell r="D77" t="str">
            <v>sadapay</v>
          </cell>
          <cell r="G77" t="str">
            <v>Technical Failures</v>
          </cell>
          <cell r="H77" t="str">
            <v>7</v>
          </cell>
          <cell r="K77" t="str">
            <v>Good Customer Service</v>
          </cell>
        </row>
        <row r="78">
          <cell r="D78" t="str">
            <v>jazzcash</v>
          </cell>
          <cell r="G78" t="str">
            <v>Not Switched</v>
          </cell>
          <cell r="H78" t="str">
            <v>7</v>
          </cell>
          <cell r="K78" t="str">
            <v>Ecosystem Advantage</v>
          </cell>
        </row>
        <row r="79">
          <cell r="D79" t="str">
            <v>jazzcash</v>
          </cell>
          <cell r="G79" t="str">
            <v>Not Switched</v>
          </cell>
          <cell r="H79" t="str">
            <v>4</v>
          </cell>
          <cell r="K79" t="str">
            <v>Good Customer Service</v>
          </cell>
        </row>
        <row r="80">
          <cell r="D80" t="str">
            <v>jazzcash</v>
          </cell>
          <cell r="G80" t="str">
            <v>Not Switched</v>
          </cell>
          <cell r="H80" t="str">
            <v>4</v>
          </cell>
          <cell r="K80" t="str">
            <v>Better Features</v>
          </cell>
        </row>
        <row r="81">
          <cell r="D81" t="str">
            <v>nayapay</v>
          </cell>
          <cell r="G81" t="str">
            <v>Technical Failures</v>
          </cell>
          <cell r="H81" t="str">
            <v>2</v>
          </cell>
          <cell r="K81" t="str">
            <v>Better Features</v>
          </cell>
        </row>
        <row r="82">
          <cell r="D82" t="str">
            <v>nayapay</v>
          </cell>
          <cell r="G82" t="str">
            <v>Better Features</v>
          </cell>
          <cell r="H82" t="str">
            <v>7</v>
          </cell>
          <cell r="K82" t="str">
            <v>Better UX</v>
          </cell>
        </row>
        <row r="83">
          <cell r="D83" t="str">
            <v>easypaisa</v>
          </cell>
          <cell r="G83" t="str">
            <v>Ecosystem Advantage</v>
          </cell>
          <cell r="H83" t="str">
            <v>7</v>
          </cell>
          <cell r="K83" t="str">
            <v>Better Features</v>
          </cell>
        </row>
        <row r="84">
          <cell r="D84" t="str">
            <v>jazzcash</v>
          </cell>
          <cell r="G84" t="str">
            <v>Better UX</v>
          </cell>
          <cell r="H84" t="str">
            <v>7</v>
          </cell>
          <cell r="K84" t="str">
            <v>Better UX</v>
          </cell>
        </row>
        <row r="85">
          <cell r="D85" t="str">
            <v>jazzcash</v>
          </cell>
          <cell r="G85" t="str">
            <v>Performance</v>
          </cell>
          <cell r="H85" t="str">
            <v>2</v>
          </cell>
          <cell r="K85" t="str">
            <v>Performance</v>
          </cell>
        </row>
        <row r="86">
          <cell r="D86" t="str">
            <v>sadapay</v>
          </cell>
          <cell r="G86" t="str">
            <v>Explore</v>
          </cell>
          <cell r="H86" t="str">
            <v>7</v>
          </cell>
          <cell r="K86" t="str">
            <v>Explore</v>
          </cell>
        </row>
        <row r="87">
          <cell r="D87" t="str">
            <v>nayapay</v>
          </cell>
          <cell r="G87" t="str">
            <v>Not Switched</v>
          </cell>
          <cell r="H87" t="str">
            <v>7</v>
          </cell>
          <cell r="K87" t="str">
            <v>Better UX</v>
          </cell>
        </row>
        <row r="88">
          <cell r="D88" t="str">
            <v>jazzcash</v>
          </cell>
          <cell r="G88" t="str">
            <v>Explore</v>
          </cell>
          <cell r="H88" t="str">
            <v>7</v>
          </cell>
          <cell r="K88" t="str">
            <v>Other</v>
          </cell>
        </row>
        <row r="89">
          <cell r="D89" t="str">
            <v>jazzcash</v>
          </cell>
          <cell r="G89" t="str">
            <v>Not Switched</v>
          </cell>
          <cell r="H89" t="str">
            <v>4</v>
          </cell>
          <cell r="K89" t="str">
            <v>Other</v>
          </cell>
        </row>
        <row r="90">
          <cell r="D90" t="str">
            <v>nayapay</v>
          </cell>
          <cell r="G90" t="str">
            <v>Not Switched</v>
          </cell>
          <cell r="H90" t="str">
            <v>7</v>
          </cell>
          <cell r="K90" t="str">
            <v>Better Features</v>
          </cell>
        </row>
        <row r="91">
          <cell r="D91" t="str">
            <v>easypaisa</v>
          </cell>
          <cell r="G91" t="str">
            <v>Not Switched</v>
          </cell>
          <cell r="H91" t="str">
            <v>4</v>
          </cell>
          <cell r="K91" t="str">
            <v>Greater Trust</v>
          </cell>
        </row>
        <row r="92">
          <cell r="D92" t="str">
            <v>jazzcash</v>
          </cell>
          <cell r="G92" t="str">
            <v>Not Switched</v>
          </cell>
          <cell r="H92" t="str">
            <v>4</v>
          </cell>
          <cell r="K92" t="str">
            <v>Other</v>
          </cell>
        </row>
        <row r="93">
          <cell r="D93" t="str">
            <v>nayapay</v>
          </cell>
          <cell r="G93" t="str">
            <v>Not Switched</v>
          </cell>
          <cell r="H93" t="str">
            <v>7</v>
          </cell>
          <cell r="K93" t="str">
            <v>Financial benefits</v>
          </cell>
        </row>
        <row r="94">
          <cell r="D94" t="str">
            <v>jazzcash</v>
          </cell>
          <cell r="G94" t="str">
            <v>Not Switched</v>
          </cell>
          <cell r="H94" t="str">
            <v>7</v>
          </cell>
          <cell r="K94" t="str">
            <v>Performance</v>
          </cell>
        </row>
        <row r="95">
          <cell r="D95" t="str">
            <v>jazzcash</v>
          </cell>
          <cell r="G95" t="str">
            <v>Not Switched</v>
          </cell>
          <cell r="H95" t="str">
            <v>2</v>
          </cell>
          <cell r="K95" t="str">
            <v>Better Features</v>
          </cell>
        </row>
        <row r="96">
          <cell r="D96" t="str">
            <v>nayapay</v>
          </cell>
          <cell r="G96" t="str">
            <v>Greater Trust</v>
          </cell>
          <cell r="H96" t="str">
            <v>7</v>
          </cell>
          <cell r="K96" t="str">
            <v>Better Features</v>
          </cell>
        </row>
        <row r="97">
          <cell r="D97" t="str">
            <v>jazzcash</v>
          </cell>
          <cell r="G97" t="str">
            <v>Not Switched</v>
          </cell>
          <cell r="H97" t="str">
            <v>7</v>
          </cell>
          <cell r="K97" t="str">
            <v>Good Customer Service</v>
          </cell>
        </row>
        <row r="98">
          <cell r="D98" t="str">
            <v>jazzcash</v>
          </cell>
          <cell r="G98" t="str">
            <v>Performance</v>
          </cell>
          <cell r="H98" t="str">
            <v>7</v>
          </cell>
          <cell r="K98" t="str">
            <v>Greater Trust</v>
          </cell>
        </row>
        <row r="99">
          <cell r="D99" t="str">
            <v>jazzcash</v>
          </cell>
          <cell r="G99" t="str">
            <v>Better UX</v>
          </cell>
          <cell r="H99" t="str">
            <v>7</v>
          </cell>
          <cell r="K99" t="str">
            <v>Better Features</v>
          </cell>
        </row>
        <row r="100">
          <cell r="D100" t="str">
            <v>jazzcash</v>
          </cell>
          <cell r="G100" t="str">
            <v>Explore</v>
          </cell>
          <cell r="H100" t="str">
            <v>7</v>
          </cell>
          <cell r="K100" t="str">
            <v>Better UX</v>
          </cell>
        </row>
        <row r="101">
          <cell r="D101" t="str">
            <v>nayapay</v>
          </cell>
          <cell r="G101" t="str">
            <v>Not Switched</v>
          </cell>
          <cell r="H101" t="str">
            <v>7</v>
          </cell>
          <cell r="K101" t="str">
            <v>Greater Trust</v>
          </cell>
        </row>
        <row r="102">
          <cell r="D102" t="str">
            <v>nayapay</v>
          </cell>
          <cell r="G102" t="str">
            <v>Not Switched</v>
          </cell>
          <cell r="H102" t="str">
            <v>7</v>
          </cell>
          <cell r="K102" t="str">
            <v>Performance</v>
          </cell>
        </row>
        <row r="103">
          <cell r="D103" t="str">
            <v>jazzcash</v>
          </cell>
          <cell r="G103" t="str">
            <v>Bad UX</v>
          </cell>
          <cell r="H103" t="str">
            <v>7</v>
          </cell>
          <cell r="K103" t="str">
            <v>Better UX</v>
          </cell>
        </row>
        <row r="104">
          <cell r="D104" t="str">
            <v>nayapay</v>
          </cell>
          <cell r="G104" t="str">
            <v>Explore</v>
          </cell>
          <cell r="H104" t="str">
            <v>7</v>
          </cell>
          <cell r="K104" t="str">
            <v>Other</v>
          </cell>
        </row>
        <row r="105">
          <cell r="D105" t="str">
            <v>easypaisa</v>
          </cell>
          <cell r="G105" t="str">
            <v>Not Switched</v>
          </cell>
          <cell r="H105" t="str">
            <v>7</v>
          </cell>
          <cell r="K105" t="str">
            <v>Explore</v>
          </cell>
        </row>
        <row r="106">
          <cell r="D106" t="str">
            <v>easypaisa</v>
          </cell>
          <cell r="G106" t="str">
            <v>Ecosystem Advantage</v>
          </cell>
          <cell r="H106" t="str">
            <v>7</v>
          </cell>
          <cell r="K106" t="str">
            <v>Greater Trust</v>
          </cell>
        </row>
        <row r="107">
          <cell r="D107" t="str">
            <v>easypaisa</v>
          </cell>
          <cell r="G107" t="str">
            <v>Not Switched</v>
          </cell>
          <cell r="H107" t="str">
            <v>1</v>
          </cell>
          <cell r="K107" t="str">
            <v>Better UX</v>
          </cell>
        </row>
        <row r="108">
          <cell r="D108" t="str">
            <v>jazzcash</v>
          </cell>
          <cell r="G108" t="str">
            <v>Trust issues</v>
          </cell>
          <cell r="H108" t="str">
            <v>4</v>
          </cell>
          <cell r="K108" t="str">
            <v>Better Features</v>
          </cell>
        </row>
        <row r="109">
          <cell r="D109" t="str">
            <v>easypaisa</v>
          </cell>
          <cell r="G109" t="str">
            <v>Not Switched</v>
          </cell>
          <cell r="H109" t="str">
            <v>7</v>
          </cell>
          <cell r="K109" t="str">
            <v>Better UX</v>
          </cell>
        </row>
        <row r="110">
          <cell r="D110" t="str">
            <v>easypaisa</v>
          </cell>
          <cell r="G110" t="str">
            <v>Explore</v>
          </cell>
          <cell r="H110" t="str">
            <v>7</v>
          </cell>
          <cell r="K110" t="str">
            <v>Better Features</v>
          </cell>
        </row>
        <row r="111">
          <cell r="D111" t="str">
            <v>jazzcash</v>
          </cell>
          <cell r="G111" t="str">
            <v>Not Switched</v>
          </cell>
          <cell r="H111" t="str">
            <v>7</v>
          </cell>
          <cell r="K111" t="str">
            <v>Good Customer Service</v>
          </cell>
        </row>
        <row r="112">
          <cell r="D112" t="str">
            <v>sadapay</v>
          </cell>
          <cell r="G112" t="str">
            <v>Not Switched</v>
          </cell>
          <cell r="H112" t="str">
            <v>7</v>
          </cell>
          <cell r="K112" t="str">
            <v>Better Features</v>
          </cell>
        </row>
        <row r="113">
          <cell r="D113" t="str">
            <v>jazzcash</v>
          </cell>
          <cell r="G113" t="str">
            <v>Not Switched</v>
          </cell>
          <cell r="H113" t="str">
            <v>4</v>
          </cell>
          <cell r="K113" t="str">
            <v>Other</v>
          </cell>
        </row>
        <row r="114">
          <cell r="D114" t="str">
            <v>jazzcash</v>
          </cell>
          <cell r="G114" t="str">
            <v>Better UX</v>
          </cell>
          <cell r="H114" t="str">
            <v>7</v>
          </cell>
          <cell r="K114" t="str">
            <v>Better UX</v>
          </cell>
        </row>
        <row r="115">
          <cell r="D115" t="str">
            <v>nayapay</v>
          </cell>
          <cell r="G115" t="str">
            <v>Technical Failures</v>
          </cell>
          <cell r="H115" t="str">
            <v>7</v>
          </cell>
          <cell r="K115" t="str">
            <v>Better Features</v>
          </cell>
        </row>
        <row r="116">
          <cell r="D116" t="str">
            <v>sadapay</v>
          </cell>
          <cell r="G116" t="str">
            <v>Better Features</v>
          </cell>
          <cell r="H116" t="str">
            <v>7</v>
          </cell>
          <cell r="K116" t="str">
            <v>Better Features</v>
          </cell>
        </row>
        <row r="117">
          <cell r="D117" t="str">
            <v>jazzcash</v>
          </cell>
          <cell r="G117" t="str">
            <v>Ecosystem Advantage</v>
          </cell>
          <cell r="H117" t="str">
            <v>1</v>
          </cell>
          <cell r="K117" t="str">
            <v>Performance</v>
          </cell>
        </row>
        <row r="118">
          <cell r="D118" t="str">
            <v>jazzcash</v>
          </cell>
          <cell r="G118" t="str">
            <v>Not Switched</v>
          </cell>
          <cell r="H118" t="str">
            <v>7</v>
          </cell>
          <cell r="K118" t="str">
            <v>Performance</v>
          </cell>
        </row>
        <row r="119">
          <cell r="D119" t="str">
            <v>jazzcash</v>
          </cell>
          <cell r="G119" t="str">
            <v>Ecosystem Advantage</v>
          </cell>
          <cell r="H119" t="str">
            <v>4</v>
          </cell>
          <cell r="K119" t="str">
            <v>Ecosystem Advantage</v>
          </cell>
        </row>
        <row r="120">
          <cell r="D120" t="str">
            <v>easypaisa</v>
          </cell>
          <cell r="G120" t="str">
            <v>Not Switched</v>
          </cell>
          <cell r="H120" t="str">
            <v>7</v>
          </cell>
          <cell r="K120" t="str">
            <v>Good Customer Service</v>
          </cell>
        </row>
        <row r="121">
          <cell r="D121" t="str">
            <v>easypaisa</v>
          </cell>
          <cell r="G121" t="str">
            <v>Explore</v>
          </cell>
          <cell r="H121" t="str">
            <v>7</v>
          </cell>
          <cell r="K121" t="str">
            <v>Better Features</v>
          </cell>
        </row>
        <row r="122">
          <cell r="D122" t="str">
            <v>nayapay</v>
          </cell>
          <cell r="G122" t="str">
            <v>Not Switched</v>
          </cell>
          <cell r="H122" t="str">
            <v>4</v>
          </cell>
          <cell r="K122" t="str">
            <v>Better UX</v>
          </cell>
        </row>
        <row r="123">
          <cell r="D123" t="str">
            <v>easypaisa</v>
          </cell>
          <cell r="G123" t="str">
            <v>Better UX</v>
          </cell>
          <cell r="H123" t="str">
            <v>7</v>
          </cell>
          <cell r="K123" t="str">
            <v>Better Features</v>
          </cell>
        </row>
        <row r="124">
          <cell r="D124" t="str">
            <v>jazzcash</v>
          </cell>
          <cell r="G124" t="str">
            <v>Not Switched</v>
          </cell>
          <cell r="H124" t="str">
            <v>7</v>
          </cell>
          <cell r="K124" t="str">
            <v>Explore</v>
          </cell>
        </row>
        <row r="125">
          <cell r="D125" t="str">
            <v>jazzcash</v>
          </cell>
          <cell r="G125" t="str">
            <v>Better UX</v>
          </cell>
          <cell r="H125" t="str">
            <v>4</v>
          </cell>
          <cell r="K125" t="str">
            <v>Better UX</v>
          </cell>
        </row>
        <row r="126">
          <cell r="D126" t="str">
            <v>jazzcash</v>
          </cell>
          <cell r="G126" t="str">
            <v>Not Switched</v>
          </cell>
          <cell r="H126" t="str">
            <v>7</v>
          </cell>
          <cell r="K126" t="str">
            <v>Better UX</v>
          </cell>
        </row>
        <row r="127">
          <cell r="D127" t="str">
            <v>easypaisa</v>
          </cell>
          <cell r="G127" t="str">
            <v>Not Switched</v>
          </cell>
          <cell r="H127" t="str">
            <v>7</v>
          </cell>
          <cell r="K127" t="str">
            <v>Ecosystem Advantage</v>
          </cell>
        </row>
        <row r="128">
          <cell r="D128" t="str">
            <v>nayapay</v>
          </cell>
          <cell r="G128" t="str">
            <v>Better Features</v>
          </cell>
          <cell r="H128" t="str">
            <v>6</v>
          </cell>
          <cell r="K128" t="str">
            <v>Good Customer Service</v>
          </cell>
        </row>
        <row r="129">
          <cell r="D129" t="str">
            <v>easypaisa</v>
          </cell>
          <cell r="G129" t="str">
            <v>Better UX</v>
          </cell>
          <cell r="H129" t="str">
            <v>7</v>
          </cell>
          <cell r="K129" t="str">
            <v>Better UX</v>
          </cell>
        </row>
        <row r="130">
          <cell r="D130" t="str">
            <v>sadapay</v>
          </cell>
          <cell r="G130" t="str">
            <v>Not Switched</v>
          </cell>
          <cell r="H130" t="str">
            <v>7</v>
          </cell>
          <cell r="K130" t="str">
            <v>Explore</v>
          </cell>
        </row>
        <row r="131">
          <cell r="D131" t="str">
            <v>easypaisa</v>
          </cell>
          <cell r="G131" t="str">
            <v>Better Features</v>
          </cell>
          <cell r="H131" t="str">
            <v>4</v>
          </cell>
          <cell r="K131" t="str">
            <v>Better Features</v>
          </cell>
        </row>
        <row r="132">
          <cell r="D132" t="str">
            <v>jazzcash</v>
          </cell>
          <cell r="G132" t="str">
            <v>Better UX</v>
          </cell>
          <cell r="H132" t="str">
            <v>1</v>
          </cell>
          <cell r="K132" t="str">
            <v>Better UX</v>
          </cell>
        </row>
        <row r="133">
          <cell r="D133" t="str">
            <v>sadapay</v>
          </cell>
          <cell r="G133" t="str">
            <v>Not Switched</v>
          </cell>
          <cell r="H133" t="str">
            <v>1</v>
          </cell>
          <cell r="K133" t="str">
            <v>Performance</v>
          </cell>
        </row>
        <row r="134">
          <cell r="D134" t="str">
            <v>easypaisa</v>
          </cell>
          <cell r="G134" t="str">
            <v>Not Switched</v>
          </cell>
          <cell r="H134" t="str">
            <v>6</v>
          </cell>
          <cell r="K134" t="str">
            <v>Better UX</v>
          </cell>
        </row>
        <row r="135">
          <cell r="D135" t="str">
            <v>nayapay</v>
          </cell>
          <cell r="G135" t="str">
            <v>Not Switched</v>
          </cell>
          <cell r="H135" t="str">
            <v>7</v>
          </cell>
          <cell r="K135" t="str">
            <v>Better UX</v>
          </cell>
        </row>
        <row r="136">
          <cell r="D136" t="str">
            <v>nayapay</v>
          </cell>
          <cell r="G136" t="str">
            <v>Not Switched</v>
          </cell>
          <cell r="H136" t="str">
            <v>7</v>
          </cell>
          <cell r="K136" t="str">
            <v>Greater Trust</v>
          </cell>
        </row>
        <row r="137">
          <cell r="D137" t="str">
            <v>sadapay</v>
          </cell>
          <cell r="G137" t="str">
            <v>Better UX</v>
          </cell>
          <cell r="H137" t="str">
            <v>7</v>
          </cell>
          <cell r="K137" t="str">
            <v>Better UX</v>
          </cell>
        </row>
        <row r="138">
          <cell r="D138" t="str">
            <v>jazzcash</v>
          </cell>
          <cell r="G138" t="str">
            <v>Bad UX</v>
          </cell>
          <cell r="H138" t="str">
            <v>4</v>
          </cell>
          <cell r="K138" t="str">
            <v>Better UX</v>
          </cell>
        </row>
        <row r="139">
          <cell r="D139" t="str">
            <v>easypaisa</v>
          </cell>
          <cell r="G139" t="str">
            <v>Better Features</v>
          </cell>
          <cell r="H139" t="str">
            <v>2</v>
          </cell>
          <cell r="K139" t="str">
            <v>Greater Trust</v>
          </cell>
        </row>
        <row r="140">
          <cell r="D140" t="str">
            <v>easypaisa</v>
          </cell>
          <cell r="G140" t="str">
            <v>Performance</v>
          </cell>
          <cell r="H140" t="str">
            <v>7</v>
          </cell>
          <cell r="K140" t="str">
            <v>Other</v>
          </cell>
        </row>
        <row r="141">
          <cell r="D141" t="str">
            <v>jazzcash</v>
          </cell>
          <cell r="G141" t="str">
            <v>Explore</v>
          </cell>
          <cell r="H141" t="str">
            <v>4</v>
          </cell>
          <cell r="K141" t="str">
            <v>Better UX</v>
          </cell>
        </row>
        <row r="142">
          <cell r="D142" t="str">
            <v>jazzcash</v>
          </cell>
          <cell r="G142" t="str">
            <v>Better Features</v>
          </cell>
          <cell r="H142" t="e">
            <v>#N/A</v>
          </cell>
          <cell r="K142" t="str">
            <v>Good Customer Service</v>
          </cell>
        </row>
        <row r="143">
          <cell r="D143" t="str">
            <v>nayapay</v>
          </cell>
          <cell r="G143" t="str">
            <v>Not Switched</v>
          </cell>
          <cell r="H143" t="str">
            <v>7</v>
          </cell>
          <cell r="K143" t="str">
            <v>Financial benefits</v>
          </cell>
        </row>
        <row r="144">
          <cell r="D144" t="str">
            <v>jazzcash</v>
          </cell>
          <cell r="G144" t="str">
            <v>Explore</v>
          </cell>
          <cell r="H144" t="str">
            <v>6</v>
          </cell>
          <cell r="K144" t="str">
            <v>Performance</v>
          </cell>
        </row>
        <row r="145">
          <cell r="D145" t="str">
            <v>nayapay</v>
          </cell>
          <cell r="G145" t="str">
            <v>Not Switched</v>
          </cell>
          <cell r="H145" t="str">
            <v>7</v>
          </cell>
          <cell r="K145" t="str">
            <v>Performance</v>
          </cell>
        </row>
        <row r="146">
          <cell r="D146" t="str">
            <v>easypaisa</v>
          </cell>
          <cell r="G146" t="str">
            <v>Explore</v>
          </cell>
          <cell r="H146" t="str">
            <v>7</v>
          </cell>
          <cell r="K146" t="str">
            <v>Better UX</v>
          </cell>
        </row>
        <row r="147">
          <cell r="D147" t="str">
            <v>jazzcash</v>
          </cell>
          <cell r="G147" t="str">
            <v>Not Switched</v>
          </cell>
          <cell r="H147" t="str">
            <v>7</v>
          </cell>
          <cell r="K147" t="str">
            <v>Performance</v>
          </cell>
        </row>
        <row r="148">
          <cell r="D148" t="str">
            <v>jazzcash</v>
          </cell>
          <cell r="G148" t="str">
            <v>Not Switched</v>
          </cell>
          <cell r="H148" t="str">
            <v>7</v>
          </cell>
          <cell r="K148" t="str">
            <v>Ecosystem Advantage</v>
          </cell>
        </row>
        <row r="149">
          <cell r="D149" t="str">
            <v>nayapay</v>
          </cell>
          <cell r="G149" t="str">
            <v>Trust issues</v>
          </cell>
          <cell r="H149" t="str">
            <v>4</v>
          </cell>
          <cell r="K149" t="str">
            <v>Trust Issues</v>
          </cell>
        </row>
        <row r="150">
          <cell r="D150" t="str">
            <v>easypaisa</v>
          </cell>
          <cell r="K150" t="str">
            <v>Performance</v>
          </cell>
        </row>
        <row r="151">
          <cell r="D151" t="str">
            <v>jazzcash</v>
          </cell>
          <cell r="K151" t="str">
            <v>Better UX</v>
          </cell>
        </row>
      </sheetData>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L1F23BSBA0010 - Hafiz Nouman Ali Abbas" id="{538A6986-D5A1-4668-B261-D076D76D3109}" userId="S::L1F23BSBA0010@ucp.edu.pk::8d7dc3fd-5c87-406c-830d-081fee8aea82"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copy_asli_market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 refreshedDate="46157.303723263889" createdVersion="8" refreshedVersion="8" minRefreshableVersion="3" recordCount="150" xr:uid="{296C4A60-DDDA-4E5C-AA8B-FCBCF1F303A0}">
  <cacheSource type="worksheet">
    <worksheetSource name="Original" r:id="rId2"/>
  </cacheSource>
  <cacheFields count="27">
    <cacheField name="Respondent Profile:_x000a_Name" numFmtId="0">
      <sharedItems/>
    </cacheField>
    <cacheField name="Gender" numFmtId="0">
      <sharedItems/>
    </cacheField>
    <cacheField name="Age" numFmtId="0">
      <sharedItems/>
    </cacheField>
    <cacheField name="City" numFmtId="0">
      <sharedItems/>
    </cacheField>
    <cacheField name="TOM" numFmtId="0">
      <sharedItems/>
    </cacheField>
    <cacheField name="EVER USED" numFmtId="0">
      <sharedItems/>
    </cacheField>
    <cacheField name="CURRENT USAGE" numFmtId="0">
      <sharedItems/>
    </cacheField>
    <cacheField name="FAVORITE" numFmtId="0">
      <sharedItems count="4">
        <s v="easypaisa"/>
        <s v="sadapay"/>
        <s v="nayapay"/>
        <s v="jazzcash"/>
      </sharedItems>
    </cacheField>
    <cacheField name="Using since" numFmtId="0">
      <sharedItems containsSemiMixedTypes="0" containsString="0" containsNumber="1" containsInteger="1" minValue="1" maxValue="7"/>
    </cacheField>
    <cacheField name="Previous Brand" numFmtId="0">
      <sharedItems/>
    </cacheField>
    <cacheField name="Reasons for switching" numFmtId="0">
      <sharedItems/>
    </cacheField>
    <cacheField name="Future intent" numFmtId="0">
      <sharedItems/>
    </cacheField>
    <cacheField name="Reasons for keep using" numFmtId="0">
      <sharedItems longText="1"/>
    </cacheField>
    <cacheField name="NPS" numFmtId="0">
      <sharedItems containsSemiMixedTypes="0" containsString="0" containsNumber="1" containsInteger="1" minValue="1" maxValue="10"/>
    </cacheField>
    <cacheField name="Alternate App" numFmtId="0">
      <sharedItems count="6">
        <s v="jazzcash"/>
        <s v="bank app"/>
        <s v="nayapay"/>
        <s v="sadapay"/>
        <s v="easypaisa"/>
        <s v="none"/>
      </sharedItems>
    </cacheField>
    <cacheField name="Best app interface and user experience (UX)" numFmtId="0">
      <sharedItems/>
    </cacheField>
    <cacheField name="Most reliable (least likely to have server/network down issues)" numFmtId="0">
      <sharedItems/>
    </cacheField>
    <cacheField name="Offers the best discounts, deals, and cashbacks" numFmtId="0">
      <sharedItems/>
    </cacheField>
    <cacheField name="Good customer service and quick issue resolution" numFmtId="0">
      <sharedItems/>
    </cacheField>
    <cacheField name="Lowest transaction fees and free inter-bank fund transfers (IBFT)" numFmtId="0">
      <sharedItems/>
    </cacheField>
    <cacheField name="Strongest security features" numFmtId="0">
      <sharedItems/>
    </cacheField>
    <cacheField name="Easiest and fastest process for opening an account or ordering a physical debit card" numFmtId="0">
      <sharedItems/>
    </cacheField>
    <cacheField name="Best app for international payments" numFmtId="0">
      <sharedItems containsBlank="1"/>
    </cacheField>
    <cacheField name="5.1) Have you seen the advertisement above on TV recently or not?" numFmtId="0">
      <sharedItems containsBlank="1"/>
    </cacheField>
    <cacheField name="5.2 ) What digital payment app was this ad for?" numFmtId="0">
      <sharedItems/>
    </cacheField>
    <cacheField name="5.3) In your own words, what was the main message of this ad? (Please be specific; avoid general answers like 'it is a good app.'" numFmtId="0">
      <sharedItems longText="1"/>
    </cacheField>
    <cacheField name="5.4) To what extent did you like this ad?"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723A8-B724-4CBF-8753-1A971FBE5E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 firstHeaderRow="1" firstDataRow="2" firstDataCol="1"/>
  <pivotFields count="27">
    <pivotField showAll="0"/>
    <pivotField showAll="0"/>
    <pivotField showAll="0"/>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axis="axisCol" dataField="1" showAll="0">
      <items count="7">
        <item x="1"/>
        <item x="4"/>
        <item x="0"/>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Fields count="1">
    <field x="14"/>
  </colFields>
  <colItems count="7">
    <i>
      <x/>
    </i>
    <i>
      <x v="1"/>
    </i>
    <i>
      <x v="2"/>
    </i>
    <i>
      <x v="3"/>
    </i>
    <i>
      <x v="4"/>
    </i>
    <i>
      <x v="5"/>
    </i>
    <i t="grand">
      <x/>
    </i>
  </colItems>
  <dataFields count="1">
    <dataField name="Count of Alternate App" fld="14" subtotal="count" baseField="0" baseItem="0"/>
  </dataFields>
  <formats count="1">
    <format dxfId="61">
      <pivotArea collapsedLevelsAreSubtotals="1" fieldPosition="0">
        <references count="2">
          <reference field="7" count="1">
            <x v="1"/>
          </reference>
          <reference field="1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96BC1F73-EBCE-43A7-851D-7E069C9BB46F}" autoFormatId="16" applyNumberFormats="0" applyBorderFormats="0" applyFontFormats="0" applyPatternFormats="0" applyAlignmentFormats="0" applyWidthHeightFormats="0">
  <queryTableRefresh nextId="5">
    <queryTableFields count="2">
      <queryTableField id="3" name="Index" tableColumnId="1"/>
      <queryTableField id="4" name="APP"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971D3E2F-F454-4D0A-BEB6-A8B599B32480}" autoFormatId="16" applyNumberFormats="0" applyBorderFormats="0" applyFontFormats="0" applyPatternFormats="0" applyAlignmentFormats="0" applyWidthHeightFormats="0">
  <queryTableRefresh nextId="6">
    <queryTableFields count="2">
      <queryTableField id="4" name="Application(Awareness)" tableColumnId="4"/>
      <queryTableField id="5" name="Value" tableColumnId="5"/>
    </queryTableFields>
    <queryTableDeletedFields count="3">
      <deletedField name="TOM"/>
      <deletedField name="EVER USED"/>
      <deletedField name="CURRENT USAG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8AAFE3FB-92FA-4479-B9BD-F2766E4B8F95}" autoFormatId="16" applyNumberFormats="0" applyBorderFormats="0" applyFontFormats="0" applyPatternFormats="0" applyAlignmentFormats="0" applyWidthHeightFormats="0">
  <queryTableRefresh nextId="5">
    <queryTableFields count="2">
      <queryTableField id="3" name="Index" tableColumnId="1"/>
      <queryTableField id="4" name="APP"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DE865BAD-A2AA-4A2A-95B9-752E155D2943}" autoFormatId="16" applyNumberFormats="0" applyBorderFormats="0" applyFontFormats="0" applyPatternFormats="0" applyAlignmentFormats="0" applyWidthHeightFormats="0">
  <queryTableRefresh nextId="4">
    <queryTableFields count="3">
      <queryTableField id="1" name="Index" tableColumnId="1"/>
      <queryTableField id="2" name="IMAGERY" tableColumnId="2"/>
      <queryTableField id="3" name="APP"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6" xr16:uid="{F13A7A01-A4AB-48CA-9ED4-5F4696BECA12}" autoFormatId="16" applyNumberFormats="0" applyBorderFormats="0" applyFontFormats="0" applyPatternFormats="0" applyAlignmentFormats="0" applyWidthHeightFormats="0">
  <queryTableRefresh nextId="19">
    <queryTableFields count="18">
      <queryTableField id="1" name="Name" tableColumnId="1"/>
      <queryTableField id="2" name="Gender" tableColumnId="2"/>
      <queryTableField id="3" name="Age" tableColumnId="3"/>
      <queryTableField id="18" dataBound="0" tableColumnId="18"/>
      <queryTableField id="4" name="City" tableColumnId="4"/>
      <queryTableField id="5" name="TOM" tableColumnId="5"/>
      <queryTableField id="6" name="FAVORITE" tableColumnId="6"/>
      <queryTableField id="7" name="Using since" tableColumnId="7"/>
      <queryTableField id="8" name="Previous Brand" tableColumnId="8"/>
      <queryTableField id="9" name="Reasons for switching" tableColumnId="9"/>
      <queryTableField id="10" name="Future intent" tableColumnId="10"/>
      <queryTableField id="11" name="Reasons for keep using" tableColumnId="11"/>
      <queryTableField id="12" name="NPS" tableColumnId="12"/>
      <queryTableField id="13" name="Alternate App" tableColumnId="13"/>
      <queryTableField id="14" name="5.1) Have you seen the advertisement above on TV recently or not?" tableColumnId="14"/>
      <queryTableField id="15" name="5.2 ) What digital payment app was this ad for?" tableColumnId="15"/>
      <queryTableField id="16" name="5.3) In your own words, what was the main message of this ad? (Please be specific; avoid general answers like 'it is a good app.'" tableColumnId="16"/>
      <queryTableField id="17" name="5.4) To what extent did you like this ad?" tableColumnId="1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C04E35F5-D33B-4B11-BF65-2F0AB650FF16}" autoFormatId="16" applyNumberFormats="0" applyBorderFormats="0" applyFontFormats="0" applyPatternFormats="0" applyAlignmentFormats="0" applyWidthHeightFormats="0">
  <queryTableRefresh nextId="42">
    <queryTableFields count="27">
      <queryTableField id="1" name="Respondent Profile:_x000a_Name" tableColumnId="1"/>
      <queryTableField id="2" name="Gender" tableColumnId="2"/>
      <queryTableField id="3" name="Age" tableColumnId="3"/>
      <queryTableField id="4" name="City" tableColumnId="4"/>
      <queryTableField id="5" name="TOM" tableColumnId="5"/>
      <queryTableField id="6" name="EVER USED" tableColumnId="6"/>
      <queryTableField id="7" name="CURRENT USAGE" tableColumnId="7"/>
      <queryTableField id="8" name="FAVORITE" tableColumnId="8"/>
      <queryTableField id="28" name="Using since" tableColumnId="28"/>
      <queryTableField id="29" name="Previous Brand" tableColumnId="29"/>
      <queryTableField id="30" name="Reasons for switching" tableColumnId="30"/>
      <queryTableField id="31" name="Future intent" tableColumnId="31"/>
      <queryTableField id="32" name="Reasons for keep using" tableColumnId="32"/>
      <queryTableField id="33" name="NPS" tableColumnId="33"/>
      <queryTableField id="34" name="Alternate App" tableColumnId="34"/>
      <queryTableField id="16" name="Best app interface and user experience (UX)" tableColumnId="16"/>
      <queryTableField id="17" name="Most reliable (least likely to have server/network down issues)" tableColumnId="17"/>
      <queryTableField id="18" name="Offers the best discounts, deals, and cashbacks" tableColumnId="18"/>
      <queryTableField id="19" name="Good customer service and quick issue resolution" tableColumnId="19"/>
      <queryTableField id="20" name="Lowest transaction fees and free inter-bank fund transfers (IBFT)" tableColumnId="20"/>
      <queryTableField id="21" name="Strongest security features" tableColumnId="21"/>
      <queryTableField id="22" name="Easiest and fastest process for opening an account or ordering a physical debit card" tableColumnId="22"/>
      <queryTableField id="23" name="Best app for international payments" tableColumnId="23"/>
      <queryTableField id="24" name="5.1) Have you seen the advertisement above on TV recently or not?" tableColumnId="24"/>
      <queryTableField id="25" name="5.2 ) What digital payment app was this ad for?" tableColumnId="25"/>
      <queryTableField id="26" name="5.3) In your own words, what was the main message of this ad? (Please be specific; avoid general answers like 'it is a good app.'" tableColumnId="26"/>
      <queryTableField id="27" name="5.4) To what extent did you like this ad?" tableColumnId="2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F81C466D-FAAB-44E6-876D-9B9141B67341}" autoFormatId="16" applyNumberFormats="0" applyBorderFormats="0" applyFontFormats="0" applyPatternFormats="0" applyAlignmentFormats="0" applyWidthHeightFormats="0">
  <queryTableRefresh nextId="13" unboundColumnsRight="5">
    <queryTableFields count="11">
      <queryTableField id="1" name="Name" tableColumnId="1"/>
      <queryTableField id="2" name="CURRENT USAGE" tableColumnId="2"/>
      <queryTableField id="3" name="Previous Brand" tableColumnId="3"/>
      <queryTableField id="11" dataBound="0" tableColumnId="7"/>
      <queryTableField id="4" name="Reasons for switching" tableColumnId="4"/>
      <queryTableField id="5" name="Switch_Status" tableColumnId="5"/>
      <queryTableField id="8" dataBound="0" tableColumnId="8"/>
      <queryTableField id="12" dataBound="0" tableColumnId="11"/>
      <queryTableField id="6" dataBound="0" tableColumnId="6"/>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AA233D-46F6-45B0-B956-03670112157D}" name="CURRENT_USAGE" displayName="CURRENT_USAGE" ref="A1:B255" tableType="queryTable" totalsRowShown="0">
  <autoFilter ref="A1:B255" xr:uid="{A1AA233D-46F6-45B0-B956-03670112157D}"/>
  <tableColumns count="2">
    <tableColumn id="1" xr3:uid="{E8BE0D2F-9D51-40D8-844B-BB5C4B34A321}" uniqueName="1" name="Index" queryTableFieldId="3"/>
    <tableColumn id="2" xr3:uid="{1D6C2A0A-CBD2-409E-9060-74547E7BA1FD}" uniqueName="2" name="APP" queryTableFieldId="4" dataDxfId="6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E7119E-D16B-40F7-B158-425FAA0C2DA5}" name="Table10_1" displayName="Table10_1" ref="A1:B331" tableType="queryTable" totalsRowShown="0">
  <autoFilter ref="A1:B331" xr:uid="{E2E7119E-D16B-40F7-B158-425FAA0C2DA5}"/>
  <tableColumns count="2">
    <tableColumn id="4" xr3:uid="{608F335F-ADF1-4BAF-B757-43756FD83BDB}" uniqueName="4" name="Application(Awareness)" queryTableFieldId="4" dataDxfId="59"/>
    <tableColumn id="5" xr3:uid="{E643A0BD-FBD2-4D71-8CE3-E81DD7C4975A}" uniqueName="5" name="Valu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24B585-D586-438B-B00F-DF06E35BCD69}" name="Table10" displayName="Table10" ref="D1:J151" totalsRowShown="0" headerRowDxfId="58">
  <autoFilter ref="D1:J151" xr:uid="{1B24B585-D586-438B-B00F-DF06E35BCD69}"/>
  <tableColumns count="7">
    <tableColumn id="1" xr3:uid="{1DBF48A3-11E1-4D4D-BC25-2B267CBF51A8}" name="TOM" dataDxfId="57"/>
    <tableColumn id="2" xr3:uid="{066A5EDE-BA29-4B57-AE02-8DCBEF42BBBF}" name="EVER USED" dataDxfId="56"/>
    <tableColumn id="3" xr3:uid="{B3F52D80-4536-48DF-9B7F-9A7AE26677F2}" name="CURRENT USAGE" dataDxfId="55"/>
    <tableColumn id="4" xr3:uid="{C6839771-A0A7-4776-A572-5FEC7937CB05}" name="jazzcash" dataDxfId="54">
      <calculatedColumnFormula>IF(OR(ISNUMBER(SEARCH("jazzcash", D2)), ISNUMBER(SEARCH("jazzcash", E2)), ISNUMBER(SEARCH("jazzcash", F2))), 1, 0)</calculatedColumnFormula>
    </tableColumn>
    <tableColumn id="5" xr3:uid="{A5354A33-3720-4165-A035-A723D999B46E}" name="easypaisa">
      <calculatedColumnFormula>IF(OR(ISNUMBER(SEARCH("easypaisa", D2)), ISNUMBER(SEARCH("easypaisa", E2)), ISNUMBER(SEARCH("easypaisa", F2))), 1, 0)</calculatedColumnFormula>
    </tableColumn>
    <tableColumn id="6" xr3:uid="{4C7053F2-DB72-48FD-8A39-C8E49B621280}" name="sadapay">
      <calculatedColumnFormula>IF(OR(ISNUMBER(SEARCH("sadapay", D2)), ISNUMBER(SEARCH("sadapay", E2)), ISNUMBER(SEARCH("sadapay", F2))), 1, 0)</calculatedColumnFormula>
    </tableColumn>
    <tableColumn id="7" xr3:uid="{710ED81F-75CF-4632-99BF-2DE29E599C01}" name="nayapay">
      <calculatedColumnFormula>IF(OR(ISNUMBER(SEARCH("nayapay", D2)), ISNUMBER(SEARCH("nayapay", E2)), ISNUMBER(SEARCH("nayapay", F2))), 1, 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089C74-4F39-41F9-AA04-01BC9E143F45}" name="EVER_USED" displayName="EVER_USED" ref="A1:B299" tableType="queryTable" totalsRowShown="0">
  <autoFilter ref="A1:B299" xr:uid="{86089C74-4F39-41F9-AA04-01BC9E143F45}"/>
  <tableColumns count="2">
    <tableColumn id="1" xr3:uid="{ADEF1E3D-5FCB-4CDC-ADDD-21D6067212F4}" uniqueName="1" name="Index" queryTableFieldId="3"/>
    <tableColumn id="2" xr3:uid="{43F7EC38-5717-4B90-A6F5-9356CF9A3AA2}" uniqueName="2" name="APP" queryTableFieldId="4" dataDxfId="5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868E63-DCAB-4A5A-914A-8A28E95141A8}" name="IMAGERY" displayName="IMAGERY" ref="A1:C1197" tableType="queryTable" totalsRowShown="0">
  <autoFilter ref="A1:C1197" xr:uid="{C1868E63-DCAB-4A5A-914A-8A28E95141A8}"/>
  <tableColumns count="3">
    <tableColumn id="1" xr3:uid="{41289243-2189-45FA-95BC-21FBBC2E30E0}" uniqueName="1" name="Index" queryTableFieldId="1"/>
    <tableColumn id="2" xr3:uid="{8B9E5D03-C84C-42E9-AF3B-05D7195447F8}" uniqueName="2" name="IMAGERY" queryTableFieldId="2" dataDxfId="52"/>
    <tableColumn id="3" xr3:uid="{6EBF0567-43E8-4108-8AD7-D02EE30ACF62}" uniqueName="3" name="APP" queryTableFieldId="3" dataDxfId="5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CED780-8C06-4873-B97F-6ECB07F6AD66}" name="SINGLE_RESPONSES" displayName="SINGLE_RESPONSES" ref="A1:R151" tableType="queryTable" totalsRowShown="0">
  <autoFilter ref="A1:R151" xr:uid="{F2CED780-8C06-4873-B97F-6ECB07F6AD66}"/>
  <tableColumns count="18">
    <tableColumn id="1" xr3:uid="{0B61ECF1-75A9-4711-8EE0-38905D082A5C}" uniqueName="1" name="Name" queryTableFieldId="1" dataDxfId="50"/>
    <tableColumn id="2" xr3:uid="{6FC2B750-02B0-49F2-8139-3B85BD096B7E}" uniqueName="2" name="Gender" queryTableFieldId="2" dataDxfId="49"/>
    <tableColumn id="3" xr3:uid="{B23D8A0B-203C-4130-8884-C92A841F9E73}" uniqueName="3" name="Age" queryTableFieldId="3" dataDxfId="48"/>
    <tableColumn id="18" xr3:uid="{0B86FE8C-1435-4806-9769-A7F59E965358}" uniqueName="18" name="coding" queryTableFieldId="18" dataDxfId="47">
      <calculatedColumnFormula array="1">_xlfn.IFS(SINGLE_RESPONSES[[#This Row],[Age]]="18 - 29",1, SINGLE_RESPONSES[[#This Row],[Age]]="30 - 41",2,SINGLE_RESPONSES[[#This Row],[Age]]="42 -53",3, SINGLE_RESPONSES[[#This Row],[Age]]="54 - 65",4, SINGLE_RESPONSES[[#This Row],[Age]]="66 and above",5)</calculatedColumnFormula>
    </tableColumn>
    <tableColumn id="4" xr3:uid="{994B813E-C374-49FD-97ED-260BAB4F3F51}" uniqueName="4" name="City" queryTableFieldId="4" dataDxfId="46"/>
    <tableColumn id="5" xr3:uid="{E77F148D-EE86-408E-BFAC-2BAAD0A0150D}" uniqueName="5" name="TOM" queryTableFieldId="5" dataDxfId="45"/>
    <tableColumn id="6" xr3:uid="{E4E4EF05-F2FA-417B-B578-128A57E6A32D}" uniqueName="6" name="FAVORITE" queryTableFieldId="6" dataDxfId="44"/>
    <tableColumn id="7" xr3:uid="{BF0459E1-BC62-44C0-8ADC-2536E8B565CD}" uniqueName="7" name="Using since" queryTableFieldId="7" dataDxfId="43"/>
    <tableColumn id="8" xr3:uid="{150E40BB-4425-4CEE-89A1-15F271EF1D89}" uniqueName="8" name="Previous Brand" queryTableFieldId="8" dataDxfId="42"/>
    <tableColumn id="9" xr3:uid="{448D38B7-B784-4AA6-97DA-41CA92C3F58F}" uniqueName="9" name="Reasons for switching" queryTableFieldId="9" dataDxfId="41"/>
    <tableColumn id="10" xr3:uid="{509E8815-7EE8-4C4A-BC5E-A175950B8067}" uniqueName="10" name="Future intent" queryTableFieldId="10" dataDxfId="40"/>
    <tableColumn id="11" xr3:uid="{501B2E75-AEE3-4F93-995F-AC9EE7392922}" uniqueName="11" name="Reasons for keep using" queryTableFieldId="11" dataDxfId="39"/>
    <tableColumn id="12" xr3:uid="{C2E4F3E3-710C-43AC-929E-03383A8B97CD}" uniqueName="12" name="NPS" queryTableFieldId="12"/>
    <tableColumn id="13" xr3:uid="{67EFF091-0527-44D4-B4E8-F8DE1742F427}" uniqueName="13" name="Alternate App" queryTableFieldId="13" dataDxfId="38"/>
    <tableColumn id="14" xr3:uid="{F95FF630-A936-405E-9306-F575B42D8162}" uniqueName="14" name="5.1) Have you seen the advertisement above on TV recently or not?" queryTableFieldId="14" dataDxfId="37"/>
    <tableColumn id="15" xr3:uid="{36672178-5E73-43BE-ADA5-C11699F19A07}" uniqueName="15" name="5.2 ) What digital payment app was this ad for?" queryTableFieldId="15" dataDxfId="36"/>
    <tableColumn id="16" xr3:uid="{C9EAD032-5006-4F7F-B891-BD279555FD62}" uniqueName="16" name="5.3) In your own words, what was the main message of this ad? (Please be specific; avoid general answers like 'it is a good app.'" queryTableFieldId="16" dataDxfId="35"/>
    <tableColumn id="17" xr3:uid="{40093BF6-1B71-46D8-BFB9-2419D8D74CC6}" uniqueName="17" name="5.4) To what extent did you like this ad?" queryTableField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2FFD7E-8716-4C79-B77F-89D114497658}" name="original" displayName="original" ref="A1:AA151" tableType="queryTable" totalsRowShown="0">
  <autoFilter ref="A1:AA151" xr:uid="{992FFD7E-8716-4C79-B77F-89D114497658}"/>
  <tableColumns count="27">
    <tableColumn id="1" xr3:uid="{7C374645-5EC0-4B48-8401-1273192F6BEB}" uniqueName="1" name="Respondent Profile:_x000a_Name" queryTableFieldId="1" dataDxfId="34"/>
    <tableColumn id="2" xr3:uid="{07DFCB0C-7FE2-4D0B-8DA7-1AF52338E4A4}" uniqueName="2" name="Gender" queryTableFieldId="2" dataDxfId="33"/>
    <tableColumn id="3" xr3:uid="{4A6ED79B-3582-4F1A-B8C7-D3F0DF2615B4}" uniqueName="3" name="Age" queryTableFieldId="3" dataDxfId="32"/>
    <tableColumn id="4" xr3:uid="{3F248C2F-DD73-48D6-9155-C58258540807}" uniqueName="4" name="City" queryTableFieldId="4" dataDxfId="31"/>
    <tableColumn id="5" xr3:uid="{028399EE-C759-4F71-9B5B-89892BDE2FAA}" uniqueName="5" name="TOM" queryTableFieldId="5" dataDxfId="30"/>
    <tableColumn id="6" xr3:uid="{CD92F5D4-3D12-4305-8E61-27546DF7F409}" uniqueName="6" name="EVER USED" queryTableFieldId="6" dataDxfId="29"/>
    <tableColumn id="7" xr3:uid="{BE0CE314-4D84-473F-BB9A-B83255A7B9FE}" uniqueName="7" name="CURRENT USAGE" queryTableFieldId="7" dataDxfId="28"/>
    <tableColumn id="8" xr3:uid="{88D8B060-6819-4F25-9069-130D8A06D15B}" uniqueName="8" name="FAVORITE" queryTableFieldId="8" dataDxfId="27"/>
    <tableColumn id="28" xr3:uid="{2AB67219-C9AB-40A5-B67C-233186CA68E4}" uniqueName="28" name="Using since" queryTableFieldId="28" dataDxfId="26"/>
    <tableColumn id="29" xr3:uid="{1FA1D16C-D790-4A32-B966-2DF79695E00D}" uniqueName="29" name="Previous Brand" queryTableFieldId="29" dataDxfId="25"/>
    <tableColumn id="30" xr3:uid="{F186DE60-B640-46AE-BC33-B592DE0C062D}" uniqueName="30" name="Reasons for switching" queryTableFieldId="30" dataDxfId="24"/>
    <tableColumn id="31" xr3:uid="{8C6B1F45-8D82-48A2-AE1E-2E1C2FDF784E}" uniqueName="31" name="Future intent" queryTableFieldId="31" dataDxfId="23"/>
    <tableColumn id="32" xr3:uid="{BAE93506-9AE0-47B6-9283-F46F9D084CF4}" uniqueName="32" name="Reasons for keep using" queryTableFieldId="32" dataDxfId="22"/>
    <tableColumn id="33" xr3:uid="{6871C597-838E-4BC2-801C-8FC17D9023D3}" uniqueName="33" name="NPS" queryTableFieldId="33"/>
    <tableColumn id="34" xr3:uid="{DA730070-BD49-4B8A-A526-84565CC82222}" uniqueName="34" name="Alternate App" queryTableFieldId="34" dataDxfId="21"/>
    <tableColumn id="16" xr3:uid="{4107D77E-B26F-4BD0-9CB3-7DD4CF7F40A5}" uniqueName="16" name="Best app interface and user experience (UX)" queryTableFieldId="16" dataDxfId="20"/>
    <tableColumn id="17" xr3:uid="{8BC473CC-DEB4-4AB9-94A5-DEDD7C271041}" uniqueName="17" name="Most reliable (least likely to have server/network down issues)" queryTableFieldId="17" dataDxfId="19"/>
    <tableColumn id="18" xr3:uid="{9340069B-C9E4-41DB-BD89-0B5A086064A7}" uniqueName="18" name="Offers the best discounts, deals, and cashbacks" queryTableFieldId="18" dataDxfId="18"/>
    <tableColumn id="19" xr3:uid="{1831F2C2-24A9-4A48-841A-25FE87E02291}" uniqueName="19" name="Good customer service and quick issue resolution" queryTableFieldId="19" dataDxfId="17"/>
    <tableColumn id="20" xr3:uid="{FFF68A84-0D8C-4F56-B74F-33D9AC4466EA}" uniqueName="20" name="Lowest transaction fees and free inter-bank fund transfers (IBFT)" queryTableFieldId="20" dataDxfId="16"/>
    <tableColumn id="21" xr3:uid="{2ACD5D3E-7CE2-436E-91E3-F96B823B6B40}" uniqueName="21" name="Strongest security features" queryTableFieldId="21" dataDxfId="15"/>
    <tableColumn id="22" xr3:uid="{2E20ACB2-88AB-44FF-B1BA-78C51EB25691}" uniqueName="22" name="Easiest and fastest process for opening an account or ordering a physical debit card" queryTableFieldId="22" dataDxfId="14"/>
    <tableColumn id="23" xr3:uid="{032EF560-BD58-4A09-96F8-55EB5FA38B4A}" uniqueName="23" name="Best app for international payments" queryTableFieldId="23" dataDxfId="13"/>
    <tableColumn id="24" xr3:uid="{0F87CD35-0BC4-4E2E-987C-69CF6CF55B52}" uniqueName="24" name="5.1) Have you seen the advertisement above on TV recently or not?" queryTableFieldId="24" dataDxfId="12"/>
    <tableColumn id="25" xr3:uid="{395006BA-6DF7-4FDA-934F-757B7168FC5E}" uniqueName="25" name="5.2 ) What digital payment app was this ad for?" queryTableFieldId="25" dataDxfId="11"/>
    <tableColumn id="26" xr3:uid="{EFDE8585-B369-43E1-8C42-E01EF184AF84}" uniqueName="26" name="5.3) In your own words, what was the main message of this ad? (Please be specific; avoid general answers like 'it is a good app.'" queryTableFieldId="26" dataDxfId="10"/>
    <tableColumn id="27" xr3:uid="{098EC0FD-C178-41E3-AA95-5358ED3EA12F}" uniqueName="27" name="5.4) To what extent did you like this ad?" queryTableFieldId="2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B151">
  <autoFilter ref="A1:AB151" xr:uid="{00000000-0009-0000-0100-000001000000}"/>
  <tableColumns count="28">
    <tableColumn id="1" xr3:uid="{00000000-0010-0000-0000-000001000000}" name="Timestamp"/>
    <tableColumn id="2" xr3:uid="{00000000-0010-0000-0000-000002000000}" name="Respondent Profile:_x000a_Name"/>
    <tableColumn id="3" xr3:uid="{00000000-0010-0000-0000-000003000000}" name="Gender"/>
    <tableColumn id="4" xr3:uid="{00000000-0010-0000-0000-000004000000}" name="What is your age group?"/>
    <tableColumn id="5" xr3:uid="{00000000-0010-0000-0000-000005000000}" name="What is your current city of residence?"/>
    <tableColumn id="6" xr3:uid="{00000000-0010-0000-0000-000006000000}" name="When thinking about mobile wallets and digital payment apps in Pakistan, what is the first name that comes into your mind? (JazzCash, Easypaisa, etc.) "/>
    <tableColumn id="7" xr3:uid="{00000000-0010-0000-0000-000007000000}" name="2.1) Which of these digital payment apps have you ever used personally?"/>
    <tableColumn id="8" xr3:uid="{00000000-0010-0000-0000-000008000000}" name="2.2) Which of these apps are you currently using?"/>
    <tableColumn id="9" xr3:uid="{00000000-0010-0000-0000-000009000000}" name="2.3) Of all the apps you use, which one do you consider as your PRIMARY (most used) digital payment app?"/>
    <tableColumn id="10" xr3:uid="{00000000-0010-0000-0000-00000A000000}" name="2.4) For how long have you been using your PRIMARY digital payment app?"/>
    <tableColumn id="11" xr3:uid="{00000000-0010-0000-0000-00000B000000}" name="2.5) What was the app name (most used before switching to the current PRIMARY app)? Please select an app DIFFERENT from your current primary app."/>
    <tableColumn id="12" xr3:uid="{00000000-0010-0000-0000-00000C000000}" name="2.6) What were the reasons for you to switch to your current primary app"/>
    <tableColumn id="13" xr3:uid="{00000000-0010-0000-0000-00000D000000}" name="2.7) Do you plan to keep using this app in future as well?_x000a_"/>
    <tableColumn id="14" xr3:uid="{00000000-0010-0000-0000-00000E000000}" name="2.8) For what reasons do you prefer to keep using this app?"/>
    <tableColumn id="15" xr3:uid="{00000000-0010-0000-0000-00000F000000}" name="2.9) Based on your PRIMARY digital payment app, how likely is it for you to recommend the brand to your family, friends, and relatives? "/>
    <tableColumn id="16" xr3:uid="{00000000-0010-0000-0000-000010000000}" name="3.1) Suppose the apps you are currently using were not available; which other app, if any, would you consider? "/>
    <tableColumn id="17" xr3:uid="{00000000-0010-0000-0000-000011000000}" name="Best app interface and user experience (UX)"/>
    <tableColumn id="18" xr3:uid="{00000000-0010-0000-0000-000012000000}" name="Most reliable (least likely to have server/network down issues)"/>
    <tableColumn id="19" xr3:uid="{00000000-0010-0000-0000-000013000000}" name="Offers the best discounts, deals, and cashbacks"/>
    <tableColumn id="20" xr3:uid="{00000000-0010-0000-0000-000014000000}" name="Good customer service and quick issue resolution"/>
    <tableColumn id="21" xr3:uid="{00000000-0010-0000-0000-000015000000}" name="Lowest transaction fees and free inter-bank fund transfers (IBFT)"/>
    <tableColumn id="22" xr3:uid="{00000000-0010-0000-0000-000016000000}" name="Strongest security features"/>
    <tableColumn id="23" xr3:uid="{00000000-0010-0000-0000-000017000000}" name="Easiest and fastest process for opening an account or ordering a physical debit card"/>
    <tableColumn id="24" xr3:uid="{00000000-0010-0000-0000-000018000000}" name="Best app for international payments"/>
    <tableColumn id="25" xr3:uid="{00000000-0010-0000-0000-000019000000}" name="5.1) Have you seen the advertisement above on TV recently or not?"/>
    <tableColumn id="26" xr3:uid="{00000000-0010-0000-0000-00001A000000}" name="5.2 ) What digital payment app was this ad for?"/>
    <tableColumn id="27" xr3:uid="{00000000-0010-0000-0000-00001B000000}" name="5.3) In your own words, what was the main message of this ad? (Please be specific; avoid general answers like 'it is a good app.'"/>
    <tableColumn id="28" xr3:uid="{00000000-0010-0000-0000-00001C000000}" name="5.4) To what extent did you like this ad?"/>
  </tableColumns>
  <tableStyleInfo name="Form Responses 1-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598B07A-3292-46C9-B5FE-DF25620B7326}" name="Reason_to_switch" displayName="Reason_to_switch" ref="A1:K151" tableType="queryTable" totalsRowShown="0">
  <autoFilter ref="A1:K151" xr:uid="{708DC3F5-8039-4684-B213-F9AF0AAE6E8C}"/>
  <tableColumns count="11">
    <tableColumn id="1" xr3:uid="{CE3D6B64-66EB-4A57-ACC9-50C5C38FCCBE}" uniqueName="1" name="Name" queryTableFieldId="1" dataDxfId="9"/>
    <tableColumn id="2" xr3:uid="{1447394B-73D5-417A-9760-B6C4EEDC994E}" uniqueName="2" name="CURRENT USAGE" queryTableFieldId="2" dataDxfId="8"/>
    <tableColumn id="3" xr3:uid="{83CF9BC6-86D6-4F34-86B4-F5DCE4365318}" uniqueName="3" name="Previous Brand" queryTableFieldId="3" dataDxfId="7"/>
    <tableColumn id="7" xr3:uid="{714DD19A-CB5A-494A-8AA9-78D1002E6660}" uniqueName="7" name="Favorite" queryTableFieldId="11"/>
    <tableColumn id="4" xr3:uid="{D0AC3AFD-2FF2-4F11-8EBB-CCB3C03C7FB8}" uniqueName="4" name="Reasons for switching" queryTableFieldId="4" dataDxfId="6"/>
    <tableColumn id="5" xr3:uid="{6F86BB4D-A56D-462B-9ADF-51AA94A5E33B}" uniqueName="5" name="Switch_Status" queryTableFieldId="5" dataDxfId="5"/>
    <tableColumn id="8" xr3:uid="{4339E168-E247-42B7-97A9-D7349C78F81E}" uniqueName="8" name="Switch_basket" queryTableFieldId="8" dataDxfId="4"/>
    <tableColumn id="11" xr3:uid="{E77A1AAE-479E-4621-AE19-61484F4776FF}" uniqueName="11" name="using" queryTableFieldId="12" dataDxfId="3">
      <calculatedColumnFormula>VLOOKUP(Reason_to_switch[[#This Row],[Name]],SINGLE_RESPONSES[],8,FALSE)</calculatedColumnFormula>
    </tableColumn>
    <tableColumn id="6" xr3:uid="{E25BA8B3-24B3-4ADF-B963-6166448123F2}" uniqueName="6" name="Switch " queryTableFieldId="6" dataDxfId="2">
      <calculatedColumnFormula>IF(Reason_to_switch[[#This Row],[Switch_Status]]="Not Switched",Reason_to_switch[[#This Row],[Switch_Status]],"TRUE")</calculatedColumnFormula>
    </tableColumn>
    <tableColumn id="9" xr3:uid="{047C95D4-7120-4295-B6C1-E0A27CDD633F}" uniqueName="9" name="Push/Pull Factors" queryTableFieldId="9" dataDxfId="1"/>
    <tableColumn id="10" xr3:uid="{BB08E84A-BDC9-4F7B-B5A9-66B6FE8B750C}" uniqueName="10" name="Reasons for keep using" queryTableFieldId="10"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0" dT="2026-05-09T09:30:01.22" personId="{538A6986-D5A1-4668-B261-D076D76D3109}" id="{92E84611-C969-42AC-AE90-6EB4E4B3B7D3}">
    <text>It was not switched but expolred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9.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D33F-D661-430E-A86B-01507CE51DD3}">
  <dimension ref="A3:R90"/>
  <sheetViews>
    <sheetView zoomScale="70" zoomScaleNormal="70" workbookViewId="0">
      <selection activeCell="S49" sqref="S49"/>
    </sheetView>
  </sheetViews>
  <sheetFormatPr defaultRowHeight="12.5" x14ac:dyDescent="0.25"/>
  <cols>
    <col min="2" max="2" width="15.54296875" bestFit="1" customWidth="1"/>
    <col min="4" max="4" width="15.54296875" bestFit="1" customWidth="1"/>
    <col min="5" max="5" width="15" bestFit="1" customWidth="1"/>
    <col min="6" max="6" width="10.54296875" bestFit="1" customWidth="1"/>
    <col min="7" max="7" width="10" bestFit="1" customWidth="1"/>
    <col min="13" max="13" width="54.7265625" bestFit="1" customWidth="1"/>
    <col min="14" max="14" width="9.81640625" bestFit="1" customWidth="1"/>
    <col min="17" max="17" width="8.36328125" bestFit="1" customWidth="1"/>
    <col min="19" max="19" width="16.26953125" customWidth="1"/>
  </cols>
  <sheetData>
    <row r="3" spans="2:18" ht="12.5" customHeight="1" x14ac:dyDescent="0.25">
      <c r="B3" s="47" t="s">
        <v>823</v>
      </c>
      <c r="C3" s="47"/>
      <c r="D3" s="47"/>
      <c r="E3" s="47"/>
      <c r="F3" s="47"/>
      <c r="G3" s="47"/>
      <c r="H3" s="47"/>
      <c r="I3" s="47"/>
      <c r="J3" s="47"/>
      <c r="K3" s="47"/>
      <c r="L3" s="47"/>
      <c r="M3" s="47"/>
      <c r="N3" s="47"/>
      <c r="O3" s="47"/>
      <c r="P3" s="47"/>
      <c r="Q3" s="47"/>
      <c r="R3" s="47"/>
    </row>
    <row r="4" spans="2:18" ht="12.5" customHeight="1" x14ac:dyDescent="0.25">
      <c r="B4" s="47"/>
      <c r="C4" s="47"/>
      <c r="D4" s="47"/>
      <c r="E4" s="47"/>
      <c r="F4" s="47"/>
      <c r="G4" s="47"/>
      <c r="H4" s="47"/>
      <c r="I4" s="47"/>
      <c r="J4" s="47"/>
      <c r="K4" s="47"/>
      <c r="L4" s="47"/>
      <c r="M4" s="47"/>
      <c r="N4" s="47"/>
      <c r="O4" s="47"/>
      <c r="P4" s="47"/>
      <c r="Q4" s="47"/>
      <c r="R4" s="47"/>
    </row>
    <row r="5" spans="2:18" ht="12.5" customHeight="1" x14ac:dyDescent="0.25">
      <c r="B5" s="47"/>
      <c r="C5" s="47"/>
      <c r="D5" s="47"/>
      <c r="E5" s="47"/>
      <c r="F5" s="47"/>
      <c r="G5" s="47"/>
      <c r="H5" s="47"/>
      <c r="I5" s="47"/>
      <c r="J5" s="47"/>
      <c r="K5" s="47"/>
      <c r="L5" s="47"/>
      <c r="M5" s="47"/>
      <c r="N5" s="47"/>
      <c r="O5" s="47"/>
      <c r="P5" s="47"/>
      <c r="Q5" s="47"/>
      <c r="R5" s="47"/>
    </row>
    <row r="7" spans="2:18" ht="13" x14ac:dyDescent="0.3">
      <c r="B7" s="50" t="s">
        <v>824</v>
      </c>
      <c r="C7" s="50"/>
      <c r="D7" s="50"/>
      <c r="E7" s="50"/>
      <c r="M7" s="53" t="s">
        <v>778</v>
      </c>
      <c r="O7" s="54" t="s">
        <v>780</v>
      </c>
      <c r="P7" s="54"/>
      <c r="Q7" s="54"/>
    </row>
    <row r="8" spans="2:18" x14ac:dyDescent="0.25">
      <c r="M8" s="53"/>
      <c r="O8" s="54"/>
      <c r="P8" s="54"/>
      <c r="Q8" s="54"/>
    </row>
    <row r="9" spans="2:18" ht="13" x14ac:dyDescent="0.25">
      <c r="B9" s="43" t="s">
        <v>2</v>
      </c>
      <c r="C9" s="43" t="s">
        <v>759</v>
      </c>
      <c r="D9" s="43" t="s">
        <v>766</v>
      </c>
      <c r="M9" s="53"/>
      <c r="O9" t="s">
        <v>32</v>
      </c>
      <c r="P9" t="s">
        <v>717</v>
      </c>
      <c r="Q9" t="s">
        <v>369</v>
      </c>
      <c r="R9" t="s">
        <v>329</v>
      </c>
    </row>
    <row r="10" spans="2:18" x14ac:dyDescent="0.25">
      <c r="B10" s="41" t="str" cm="1">
        <f t="array" ref="B10:B12">_xlfn.UNIQUE(SINGLE_RESPONSES[Gender])</f>
        <v>Male</v>
      </c>
      <c r="C10" s="41">
        <f>COUNTIF(SINGLE_RESPONSES[Gender],B10)</f>
        <v>106</v>
      </c>
      <c r="D10" s="42">
        <f>C10/150</f>
        <v>0.70666666666666667</v>
      </c>
      <c r="M10" s="53"/>
      <c r="N10" t="s">
        <v>32</v>
      </c>
      <c r="O10" s="45"/>
      <c r="P10">
        <f>COUNTIFS(SINGLE_RESPONSES!$I2:$I151,'Exploratory Data Analysis'!$N10,SINGLE_RESPONSES!$G2:$G151,'Exploratory Data Analysis'!P$9)</f>
        <v>7</v>
      </c>
      <c r="Q10">
        <f>COUNTIFS(SINGLE_RESPONSES!$I2:$I151,'Exploratory Data Analysis'!$N10,SINGLE_RESPONSES!$G2:$G151,'Exploratory Data Analysis'!Q$9)</f>
        <v>7</v>
      </c>
      <c r="R10">
        <f>COUNTIFS(SINGLE_RESPONSES!$I2:$I151,'Exploratory Data Analysis'!$N10,SINGLE_RESPONSES!$G2:$G151,'Exploratory Data Analysis'!R$9)</f>
        <v>26</v>
      </c>
    </row>
    <row r="11" spans="2:18" x14ac:dyDescent="0.25">
      <c r="B11" s="41" t="str">
        <v>Female</v>
      </c>
      <c r="C11" s="41">
        <f>COUNTIF(SINGLE_RESPONSES[Gender],B11)</f>
        <v>43</v>
      </c>
      <c r="D11" s="42">
        <f>C11/150</f>
        <v>0.28666666666666668</v>
      </c>
      <c r="M11" s="53"/>
      <c r="N11" t="s">
        <v>717</v>
      </c>
      <c r="O11">
        <f>COUNTIFS(SINGLE_RESPONSES!$I3:$I152,'Exploratory Data Analysis'!$N11,SINGLE_RESPONSES!$G3:$G152,'Exploratory Data Analysis'!O$9)</f>
        <v>3</v>
      </c>
      <c r="P11" s="45"/>
      <c r="Q11">
        <f>COUNTIFS(SINGLE_RESPONSES!$I3:$I152,'Exploratory Data Analysis'!$N11,SINGLE_RESPONSES!$G3:$G152,'Exploratory Data Analysis'!Q$9)</f>
        <v>2</v>
      </c>
      <c r="R11">
        <f>COUNTIFS(SINGLE_RESPONSES!$I3:$I152,'Exploratory Data Analysis'!$N11,SINGLE_RESPONSES!$G3:$G152,'Exploratory Data Analysis'!R$9)</f>
        <v>3</v>
      </c>
    </row>
    <row r="12" spans="2:18" x14ac:dyDescent="0.25">
      <c r="B12" s="41" t="str">
        <v>Prefer not to say</v>
      </c>
      <c r="C12" s="41">
        <f>COUNTIF(SINGLE_RESPONSES[Gender],B12)</f>
        <v>1</v>
      </c>
      <c r="D12" s="42">
        <f>C12/150</f>
        <v>6.6666666666666671E-3</v>
      </c>
      <c r="M12" s="53"/>
      <c r="N12" t="s">
        <v>369</v>
      </c>
      <c r="O12">
        <f>COUNTIFS(SINGLE_RESPONSES!$I4:$I153,'Exploratory Data Analysis'!$N12,SINGLE_RESPONSES!$G4:$G153,'Exploratory Data Analysis'!O$9)</f>
        <v>4</v>
      </c>
      <c r="P12">
        <f>COUNTIFS(SINGLE_RESPONSES!$I4:$I153,'Exploratory Data Analysis'!$N12,SINGLE_RESPONSES!$G4:$G153,'Exploratory Data Analysis'!P$9)</f>
        <v>0</v>
      </c>
      <c r="Q12" s="45"/>
      <c r="R12">
        <f>COUNTIFS(SINGLE_RESPONSES!$I4:$I153,'Exploratory Data Analysis'!$N12,SINGLE_RESPONSES!$G4:$G153,'Exploratory Data Analysis'!R$9)</f>
        <v>5</v>
      </c>
    </row>
    <row r="13" spans="2:18" x14ac:dyDescent="0.25">
      <c r="M13" s="53"/>
      <c r="N13" t="s">
        <v>329</v>
      </c>
      <c r="O13">
        <f>COUNTIFS(SINGLE_RESPONSES!$I5:$I154,'Exploratory Data Analysis'!$N13,SINGLE_RESPONSES!$G5:$G154,'Exploratory Data Analysis'!O$9)</f>
        <v>20</v>
      </c>
      <c r="P13">
        <f>COUNTIFS(SINGLE_RESPONSES!$I5:$I154,'Exploratory Data Analysis'!$N13,SINGLE_RESPONSES!$G5:$G154,'Exploratory Data Analysis'!P$9)</f>
        <v>9</v>
      </c>
      <c r="Q13">
        <f>COUNTIFS(SINGLE_RESPONSES!$I5:$I154,'Exploratory Data Analysis'!$N13,SINGLE_RESPONSES!$G5:$G154,'Exploratory Data Analysis'!Q$9)</f>
        <v>9</v>
      </c>
      <c r="R13" s="45"/>
    </row>
    <row r="14" spans="2:18" x14ac:dyDescent="0.25">
      <c r="M14" s="53"/>
    </row>
    <row r="15" spans="2:18" x14ac:dyDescent="0.25">
      <c r="M15" s="53"/>
    </row>
    <row r="16" spans="2:18" x14ac:dyDescent="0.25">
      <c r="M16" s="53"/>
    </row>
    <row r="24" spans="2:17" ht="13" customHeight="1" x14ac:dyDescent="0.3">
      <c r="B24" s="50" t="s">
        <v>825</v>
      </c>
      <c r="C24" s="50"/>
      <c r="D24" s="50"/>
      <c r="E24" s="50"/>
      <c r="M24" s="48" t="s">
        <v>781</v>
      </c>
      <c r="N24" s="49" t="s">
        <v>780</v>
      </c>
      <c r="O24" s="49"/>
      <c r="P24" s="49"/>
      <c r="Q24" s="49"/>
    </row>
    <row r="25" spans="2:17" ht="13" x14ac:dyDescent="0.3">
      <c r="M25" s="48"/>
      <c r="N25" s="26" t="s">
        <v>32</v>
      </c>
      <c r="O25" s="27" t="s">
        <v>329</v>
      </c>
      <c r="P25" s="28" t="s">
        <v>717</v>
      </c>
      <c r="Q25" s="29" t="s">
        <v>369</v>
      </c>
    </row>
    <row r="26" spans="2:17" ht="13" x14ac:dyDescent="0.3">
      <c r="M26" s="24" t="s">
        <v>789</v>
      </c>
      <c r="N26" s="23"/>
      <c r="O26" s="23"/>
      <c r="P26" s="23"/>
      <c r="Q26" s="23"/>
    </row>
    <row r="27" spans="2:17" ht="13" x14ac:dyDescent="0.3">
      <c r="B27" s="44" t="s">
        <v>755</v>
      </c>
      <c r="C27" s="44" t="s">
        <v>826</v>
      </c>
      <c r="D27" s="44" t="s">
        <v>766</v>
      </c>
      <c r="E27" s="44" t="s">
        <v>759</v>
      </c>
      <c r="M27" t="s">
        <v>782</v>
      </c>
      <c r="N27">
        <f>COUNTIFS('Reason_to_switch_&amp;_keep_using'!$G:$G,$M27,'Reason_to_switch_&amp;_keep_using'!$D:$D,N$25)</f>
        <v>4</v>
      </c>
      <c r="O27">
        <f>COUNTIFS('Reason_to_switch_&amp;_keep_using'!$G:$G,$M27,'Reason_to_switch_&amp;_keep_using'!$D:$D,O$25)</f>
        <v>10</v>
      </c>
      <c r="P27">
        <f>COUNTIFS('Reason_to_switch_&amp;_keep_using'!$G:$G,$M27,'Reason_to_switch_&amp;_keep_using'!$D:$D,P$25)</f>
        <v>4</v>
      </c>
      <c r="Q27">
        <f>COUNTIFS('Reason_to_switch_&amp;_keep_using'!$G:$G,$M27,'Reason_to_switch_&amp;_keep_using'!$D:$D,Q$25)</f>
        <v>0</v>
      </c>
    </row>
    <row r="28" spans="2:17" x14ac:dyDescent="0.25">
      <c r="B28" cm="1">
        <f t="array" ref="B28:B32">_xlfn._xlws.SORT(_xlfn.UNIQUE(SINGLE_RESPONSES[coding]))</f>
        <v>1</v>
      </c>
      <c r="C28" s="5" t="s">
        <v>770</v>
      </c>
      <c r="D28" s="10">
        <f>E28/150</f>
        <v>0.84666666666666668</v>
      </c>
      <c r="E28">
        <f>COUNTIF(SINGLE_RESPONSES[coding],B28)</f>
        <v>127</v>
      </c>
      <c r="M28" t="s">
        <v>783</v>
      </c>
      <c r="N28">
        <f>COUNTIFS('Reason_to_switch_&amp;_keep_using'!$G:$G,$M28,'Reason_to_switch_&amp;_keep_using'!$D:$D,N$25)</f>
        <v>4</v>
      </c>
      <c r="O28">
        <f>COUNTIFS('Reason_to_switch_&amp;_keep_using'!$G:$G,$M28,'Reason_to_switch_&amp;_keep_using'!$D:$D,O$25)</f>
        <v>3</v>
      </c>
      <c r="P28">
        <f>COUNTIFS('Reason_to_switch_&amp;_keep_using'!$G:$G,$M28,'Reason_to_switch_&amp;_keep_using'!$D:$D,P$25)</f>
        <v>1</v>
      </c>
      <c r="Q28">
        <f>COUNTIFS('Reason_to_switch_&amp;_keep_using'!$G:$G,$M28,'Reason_to_switch_&amp;_keep_using'!$D:$D,Q$25)</f>
        <v>2</v>
      </c>
    </row>
    <row r="29" spans="2:17" x14ac:dyDescent="0.25">
      <c r="B29">
        <v>2</v>
      </c>
      <c r="C29" t="s">
        <v>771</v>
      </c>
      <c r="D29" s="10">
        <f>E29/150</f>
        <v>0.1</v>
      </c>
      <c r="E29">
        <f>COUNTIF(SINGLE_RESPONSES[coding],B29)</f>
        <v>15</v>
      </c>
      <c r="M29" t="s">
        <v>784</v>
      </c>
      <c r="N29">
        <f>COUNTIFS('Reason_to_switch_&amp;_keep_using'!$G:$G,$M29,'Reason_to_switch_&amp;_keep_using'!$D:$D,N$25)</f>
        <v>1</v>
      </c>
      <c r="O29">
        <f>COUNTIFS('Reason_to_switch_&amp;_keep_using'!$G:$G,$M29,'Reason_to_switch_&amp;_keep_using'!$D:$D,O$25)</f>
        <v>4</v>
      </c>
      <c r="P29">
        <f>COUNTIFS('Reason_to_switch_&amp;_keep_using'!$G:$G,$M29,'Reason_to_switch_&amp;_keep_using'!$D:$D,P$25)</f>
        <v>0</v>
      </c>
      <c r="Q29">
        <f>COUNTIFS('Reason_to_switch_&amp;_keep_using'!$G:$G,$M29,'Reason_to_switch_&amp;_keep_using'!$D:$D,Q$25)</f>
        <v>0</v>
      </c>
    </row>
    <row r="30" spans="2:17" x14ac:dyDescent="0.25">
      <c r="B30">
        <v>3</v>
      </c>
      <c r="C30" s="5" t="s">
        <v>772</v>
      </c>
      <c r="D30" s="10">
        <f>E30/150</f>
        <v>3.3333333333333333E-2</v>
      </c>
      <c r="E30">
        <f>COUNTIF(SINGLE_RESPONSES[coding],B30)</f>
        <v>5</v>
      </c>
      <c r="M30" t="s">
        <v>785</v>
      </c>
      <c r="N30">
        <f>COUNTIFS('Reason_to_switch_&amp;_keep_using'!$G:$G,$M30,'Reason_to_switch_&amp;_keep_using'!$D:$D,N$25)</f>
        <v>1</v>
      </c>
      <c r="O30">
        <f>COUNTIFS('Reason_to_switch_&amp;_keep_using'!$G:$G,$M30,'Reason_to_switch_&amp;_keep_using'!$D:$D,O$25)</f>
        <v>1</v>
      </c>
      <c r="P30">
        <f>COUNTIFS('Reason_to_switch_&amp;_keep_using'!$G:$G,$M30,'Reason_to_switch_&amp;_keep_using'!$D:$D,P$25)</f>
        <v>1</v>
      </c>
      <c r="Q30">
        <f>COUNTIFS('Reason_to_switch_&amp;_keep_using'!$G:$G,$M30,'Reason_to_switch_&amp;_keep_using'!$D:$D,Q$25)</f>
        <v>0</v>
      </c>
    </row>
    <row r="31" spans="2:17" x14ac:dyDescent="0.25">
      <c r="B31">
        <v>4</v>
      </c>
      <c r="C31" s="5" t="s">
        <v>773</v>
      </c>
      <c r="D31" s="10">
        <f>E31/150</f>
        <v>1.3333333333333334E-2</v>
      </c>
      <c r="E31">
        <f>COUNTIF(SINGLE_RESPONSES[coding],B31)</f>
        <v>2</v>
      </c>
      <c r="M31" t="s">
        <v>786</v>
      </c>
      <c r="N31">
        <f>COUNTIFS('Reason_to_switch_&amp;_keep_using'!$G:$G,$M31,'Reason_to_switch_&amp;_keep_using'!$D:$D,N$25)</f>
        <v>2</v>
      </c>
      <c r="O31">
        <f>COUNTIFS('Reason_to_switch_&amp;_keep_using'!$G:$G,$M31,'Reason_to_switch_&amp;_keep_using'!$D:$D,O$25)</f>
        <v>3</v>
      </c>
      <c r="P31">
        <f>COUNTIFS('Reason_to_switch_&amp;_keep_using'!$G:$G,$M31,'Reason_to_switch_&amp;_keep_using'!$D:$D,P$25)</f>
        <v>0</v>
      </c>
      <c r="Q31">
        <f>COUNTIFS('Reason_to_switch_&amp;_keep_using'!$G:$G,$M31,'Reason_to_switch_&amp;_keep_using'!$D:$D,Q$25)</f>
        <v>0</v>
      </c>
    </row>
    <row r="32" spans="2:17" x14ac:dyDescent="0.25">
      <c r="B32">
        <v>5</v>
      </c>
      <c r="C32" s="5" t="s">
        <v>312</v>
      </c>
      <c r="D32" s="10">
        <f>E32/150</f>
        <v>6.6666666666666671E-3</v>
      </c>
      <c r="E32">
        <f>COUNTIF(SINGLE_RESPONSES[coding],B32)</f>
        <v>1</v>
      </c>
      <c r="M32" t="s">
        <v>787</v>
      </c>
      <c r="N32">
        <f>COUNTIFS('Reason_to_switch_&amp;_keep_using'!$G:$G,$M32,'Reason_to_switch_&amp;_keep_using'!$D:$D,N$25)</f>
        <v>0</v>
      </c>
      <c r="O32">
        <f>COUNTIFS('Reason_to_switch_&amp;_keep_using'!$G:$G,$M32,'Reason_to_switch_&amp;_keep_using'!$D:$D,O$25)</f>
        <v>0</v>
      </c>
      <c r="P32">
        <f>COUNTIFS('Reason_to_switch_&amp;_keep_using'!$G:$G,$M32,'Reason_to_switch_&amp;_keep_using'!$D:$D,P$25)</f>
        <v>0</v>
      </c>
      <c r="Q32">
        <f>COUNTIFS('Reason_to_switch_&amp;_keep_using'!$G:$G,$M32,'Reason_to_switch_&amp;_keep_using'!$D:$D,Q$25)</f>
        <v>1</v>
      </c>
    </row>
    <row r="33" spans="2:17" x14ac:dyDescent="0.25">
      <c r="M33" s="5" t="s">
        <v>794</v>
      </c>
      <c r="N33">
        <f>COUNTIFS('Reason_to_switch_&amp;_keep_using'!$G:$G,$M33,'Reason_to_switch_&amp;_keep_using'!$D:$D,N$25)</f>
        <v>6</v>
      </c>
      <c r="O33">
        <f>COUNTIFS('Reason_to_switch_&amp;_keep_using'!$G:$G,$M33,'Reason_to_switch_&amp;_keep_using'!$D:$D,O$25)</f>
        <v>7</v>
      </c>
      <c r="P33">
        <f>COUNTIFS('Reason_to_switch_&amp;_keep_using'!$G:$G,$M33,'Reason_to_switch_&amp;_keep_using'!$D:$D,P$25)</f>
        <v>3</v>
      </c>
      <c r="Q33">
        <f>COUNTIFS('Reason_to_switch_&amp;_keep_using'!$G:$G,$M33,'Reason_to_switch_&amp;_keep_using'!$D:$D,Q$25)</f>
        <v>3</v>
      </c>
    </row>
    <row r="34" spans="2:17" ht="13" x14ac:dyDescent="0.3">
      <c r="M34" s="25" t="s">
        <v>790</v>
      </c>
      <c r="N34" s="30"/>
      <c r="O34" s="30"/>
      <c r="P34" s="30"/>
      <c r="Q34" s="30"/>
    </row>
    <row r="35" spans="2:17" x14ac:dyDescent="0.25">
      <c r="M35" t="s">
        <v>791</v>
      </c>
      <c r="N35">
        <f>COUNTIFS('Reason_to_switch_&amp;_keep_using'!$G:$G,$M35,'Reason_to_switch_&amp;_keep_using'!$D:$D,N$25)</f>
        <v>1</v>
      </c>
      <c r="O35">
        <f>COUNTIFS('Reason_to_switch_&amp;_keep_using'!$G:$G,$M35,'Reason_to_switch_&amp;_keep_using'!$D:$D,O$25)</f>
        <v>2</v>
      </c>
      <c r="P35">
        <f>COUNTIFS('Reason_to_switch_&amp;_keep_using'!$G:$G,$M35,'Reason_to_switch_&amp;_keep_using'!$D:$D,P$25)</f>
        <v>1</v>
      </c>
      <c r="Q35">
        <f>COUNTIFS('Reason_to_switch_&amp;_keep_using'!$G:$G,$M35,'Reason_to_switch_&amp;_keep_using'!$D:$D,Q$25)</f>
        <v>1</v>
      </c>
    </row>
    <row r="36" spans="2:17" x14ac:dyDescent="0.25">
      <c r="M36" t="s">
        <v>792</v>
      </c>
      <c r="N36">
        <f>COUNTIFS('Reason_to_switch_&amp;_keep_using'!$G:$G,$M36,'Reason_to_switch_&amp;_keep_using'!$D:$D,N$25)</f>
        <v>3</v>
      </c>
      <c r="O36">
        <f>COUNTIFS('Reason_to_switch_&amp;_keep_using'!$G:$G,$M36,'Reason_to_switch_&amp;_keep_using'!$D:$D,O$25)</f>
        <v>0</v>
      </c>
      <c r="P36">
        <f>COUNTIFS('Reason_to_switch_&amp;_keep_using'!$G:$G,$M36,'Reason_to_switch_&amp;_keep_using'!$D:$D,P$25)</f>
        <v>3</v>
      </c>
      <c r="Q36">
        <f>COUNTIFS('Reason_to_switch_&amp;_keep_using'!$G:$G,$M36,'Reason_to_switch_&amp;_keep_using'!$D:$D,Q$25)</f>
        <v>2</v>
      </c>
    </row>
    <row r="37" spans="2:17" x14ac:dyDescent="0.25">
      <c r="M37" t="s">
        <v>793</v>
      </c>
      <c r="N37">
        <f>COUNTIFS('Reason_to_switch_&amp;_keep_using'!$G:$G,$M37,'Reason_to_switch_&amp;_keep_using'!$D:$D,N$25)</f>
        <v>0</v>
      </c>
      <c r="O37">
        <f>COUNTIFS('Reason_to_switch_&amp;_keep_using'!$G:$G,$M37,'Reason_to_switch_&amp;_keep_using'!$D:$D,O$25)</f>
        <v>2</v>
      </c>
      <c r="P37">
        <f>COUNTIFS('Reason_to_switch_&amp;_keep_using'!$G:$G,$M37,'Reason_to_switch_&amp;_keep_using'!$D:$D,P$25)</f>
        <v>0</v>
      </c>
      <c r="Q37">
        <f>COUNTIFS('Reason_to_switch_&amp;_keep_using'!$G:$G,$M37,'Reason_to_switch_&amp;_keep_using'!$D:$D,Q$25)</f>
        <v>0</v>
      </c>
    </row>
    <row r="38" spans="2:17" x14ac:dyDescent="0.25">
      <c r="M38" t="s">
        <v>788</v>
      </c>
      <c r="N38">
        <f>COUNTIFS('Reason_to_switch_&amp;_keep_using'!$G:$G,$M38,'Reason_to_switch_&amp;_keep_using'!$D:$D,N$25)</f>
        <v>0</v>
      </c>
      <c r="O38">
        <f>COUNTIFS('Reason_to_switch_&amp;_keep_using'!$G:$G,$M38,'Reason_to_switch_&amp;_keep_using'!$D:$D,O$25)</f>
        <v>2</v>
      </c>
      <c r="P38">
        <f>COUNTIFS('Reason_to_switch_&amp;_keep_using'!$G:$G,$M38,'Reason_to_switch_&amp;_keep_using'!$D:$D,P$25)</f>
        <v>0</v>
      </c>
      <c r="Q38">
        <f>COUNTIFS('Reason_to_switch_&amp;_keep_using'!$G:$G,$M38,'Reason_to_switch_&amp;_keep_using'!$D:$D,Q$25)</f>
        <v>0</v>
      </c>
    </row>
    <row r="39" spans="2:17" x14ac:dyDescent="0.25">
      <c r="M39" s="5" t="s">
        <v>795</v>
      </c>
      <c r="N39">
        <f>COUNTIFS('Reason_to_switch_&amp;_keep_using'!$G:$G,$M39,'Reason_to_switch_&amp;_keep_using'!$D:$D,N$25)</f>
        <v>0</v>
      </c>
      <c r="O39">
        <f>COUNTIFS('Reason_to_switch_&amp;_keep_using'!$G:$G,$M39,'Reason_to_switch_&amp;_keep_using'!$D:$D,O$25)</f>
        <v>0</v>
      </c>
      <c r="P39">
        <f>COUNTIFS('Reason_to_switch_&amp;_keep_using'!$G:$G,$M39,'Reason_to_switch_&amp;_keep_using'!$D:$D,P$25)</f>
        <v>0</v>
      </c>
      <c r="Q39">
        <f>COUNTIFS('Reason_to_switch_&amp;_keep_using'!$G:$G,$M39,'Reason_to_switch_&amp;_keep_using'!$D:$D,Q$25)</f>
        <v>0</v>
      </c>
    </row>
    <row r="41" spans="2:17" ht="13" x14ac:dyDescent="0.3">
      <c r="B41" s="50" t="s">
        <v>754</v>
      </c>
      <c r="C41" s="50"/>
      <c r="D41" s="50"/>
      <c r="E41" s="50"/>
    </row>
    <row r="42" spans="2:17" ht="13" x14ac:dyDescent="0.3">
      <c r="B42" s="44" t="s">
        <v>827</v>
      </c>
      <c r="C42" s="44" t="s">
        <v>759</v>
      </c>
      <c r="D42" s="44" t="s">
        <v>766</v>
      </c>
    </row>
    <row r="43" spans="2:17" x14ac:dyDescent="0.25">
      <c r="B43" t="s">
        <v>32</v>
      </c>
      <c r="C43">
        <f>COUNTIF(Table10_1[Application(Awareness)],'Exploratory Data Analysis'!B43)</f>
        <v>100</v>
      </c>
      <c r="D43" s="10">
        <f>C43/150</f>
        <v>0.66666666666666663</v>
      </c>
    </row>
    <row r="44" spans="2:17" x14ac:dyDescent="0.25">
      <c r="B44" t="s">
        <v>717</v>
      </c>
      <c r="C44">
        <f>COUNTIF(Table10_1[Application(Awareness)],'Exploratory Data Analysis'!B44)</f>
        <v>61</v>
      </c>
      <c r="D44" s="10">
        <f t="shared" ref="D44:D46" si="0">C44/150</f>
        <v>0.40666666666666668</v>
      </c>
    </row>
    <row r="45" spans="2:17" ht="13" x14ac:dyDescent="0.3">
      <c r="B45" t="s">
        <v>329</v>
      </c>
      <c r="C45">
        <f>COUNTIF(Table10_1[Application(Awareness)],'Exploratory Data Analysis'!B45)</f>
        <v>114</v>
      </c>
      <c r="D45" s="10">
        <f t="shared" si="0"/>
        <v>0.76</v>
      </c>
      <c r="M45" s="48" t="s">
        <v>798</v>
      </c>
      <c r="N45" s="49" t="s">
        <v>780</v>
      </c>
      <c r="O45" s="49"/>
      <c r="P45" s="49"/>
      <c r="Q45" s="49"/>
    </row>
    <row r="46" spans="2:17" ht="13" x14ac:dyDescent="0.3">
      <c r="B46" t="s">
        <v>369</v>
      </c>
      <c r="C46">
        <f>COUNTIF(Table10_1[Application(Awareness)],'Exploratory Data Analysis'!B46)</f>
        <v>55</v>
      </c>
      <c r="D46" s="10">
        <f t="shared" si="0"/>
        <v>0.36666666666666664</v>
      </c>
      <c r="M46" s="48"/>
      <c r="N46" s="26" t="s">
        <v>32</v>
      </c>
      <c r="O46" s="27" t="s">
        <v>329</v>
      </c>
      <c r="P46" s="28" t="s">
        <v>717</v>
      </c>
      <c r="Q46" s="29" t="s">
        <v>369</v>
      </c>
    </row>
    <row r="47" spans="2:17" x14ac:dyDescent="0.25">
      <c r="M47" s="5" t="s">
        <v>782</v>
      </c>
      <c r="N47">
        <f>COUNTIFS('Reason_to_switch_&amp;_keep_using'!$K:$K,'Exploratory Data Analysis'!$M47,'Reason_to_switch_&amp;_keep_using'!$D:$D,'Exploratory Data Analysis'!N$46)</f>
        <v>15</v>
      </c>
      <c r="O47">
        <f>COUNTIFS('Reason_to_switch_&amp;_keep_using'!$K:$K,'Exploratory Data Analysis'!$M47,'Reason_to_switch_&amp;_keep_using'!$D:$D,'Exploratory Data Analysis'!O$46)</f>
        <v>26</v>
      </c>
      <c r="P47">
        <f>COUNTIFS('Reason_to_switch_&amp;_keep_using'!$K:$K,'Exploratory Data Analysis'!$M47,'Reason_to_switch_&amp;_keep_using'!$D:$D,'Exploratory Data Analysis'!P$46)</f>
        <v>8</v>
      </c>
      <c r="Q47">
        <f>COUNTIFS('Reason_to_switch_&amp;_keep_using'!$K:$K,'Exploratory Data Analysis'!$M47,'Reason_to_switch_&amp;_keep_using'!$D:$D,'Exploratory Data Analysis'!Q$46)</f>
        <v>8</v>
      </c>
    </row>
    <row r="48" spans="2:17" x14ac:dyDescent="0.25">
      <c r="M48" s="5" t="s">
        <v>786</v>
      </c>
      <c r="N48">
        <f>COUNTIFS('Reason_to_switch_&amp;_keep_using'!$K:$K,'Exploratory Data Analysis'!$M48,'Reason_to_switch_&amp;_keep_using'!$D:$D,'Exploratory Data Analysis'!N$46)</f>
        <v>3</v>
      </c>
      <c r="O48">
        <f>COUNTIFS('Reason_to_switch_&amp;_keep_using'!$K:$K,'Exploratory Data Analysis'!$M48,'Reason_to_switch_&amp;_keep_using'!$D:$D,'Exploratory Data Analysis'!O$46)</f>
        <v>7</v>
      </c>
      <c r="P48">
        <f>COUNTIFS('Reason_to_switch_&amp;_keep_using'!$K:$K,'Exploratory Data Analysis'!$M48,'Reason_to_switch_&amp;_keep_using'!$D:$D,'Exploratory Data Analysis'!P$46)</f>
        <v>0</v>
      </c>
      <c r="Q48">
        <f>COUNTIFS('Reason_to_switch_&amp;_keep_using'!$K:$K,'Exploratory Data Analysis'!$M48,'Reason_to_switch_&amp;_keep_using'!$D:$D,'Exploratory Data Analysis'!Q$46)</f>
        <v>0</v>
      </c>
    </row>
    <row r="49" spans="2:17" x14ac:dyDescent="0.25">
      <c r="M49" s="5" t="s">
        <v>784</v>
      </c>
      <c r="N49">
        <f>COUNTIFS('Reason_to_switch_&amp;_keep_using'!$K:$K,'Exploratory Data Analysis'!$M49,'Reason_to_switch_&amp;_keep_using'!$D:$D,'Exploratory Data Analysis'!N$46)</f>
        <v>6</v>
      </c>
      <c r="O49">
        <f>COUNTIFS('Reason_to_switch_&amp;_keep_using'!$K:$K,'Exploratory Data Analysis'!$M49,'Reason_to_switch_&amp;_keep_using'!$D:$D,'Exploratory Data Analysis'!O$46)</f>
        <v>9</v>
      </c>
      <c r="P49">
        <f>COUNTIFS('Reason_to_switch_&amp;_keep_using'!$K:$K,'Exploratory Data Analysis'!$M49,'Reason_to_switch_&amp;_keep_using'!$D:$D,'Exploratory Data Analysis'!P$46)</f>
        <v>1</v>
      </c>
      <c r="Q49">
        <f>COUNTIFS('Reason_to_switch_&amp;_keep_using'!$K:$K,'Exploratory Data Analysis'!$M49,'Reason_to_switch_&amp;_keep_using'!$D:$D,'Exploratory Data Analysis'!Q$46)</f>
        <v>2</v>
      </c>
    </row>
    <row r="50" spans="2:17" x14ac:dyDescent="0.25">
      <c r="M50" s="5" t="s">
        <v>799</v>
      </c>
      <c r="N50">
        <f>COUNTIFS('Reason_to_switch_&amp;_keep_using'!$K:$K,'Exploratory Data Analysis'!$M50,'Reason_to_switch_&amp;_keep_using'!$D:$D,'Exploratory Data Analysis'!N$46)</f>
        <v>7</v>
      </c>
      <c r="O50">
        <f>COUNTIFS('Reason_to_switch_&amp;_keep_using'!$K:$K,'Exploratory Data Analysis'!$M50,'Reason_to_switch_&amp;_keep_using'!$D:$D,'Exploratory Data Analysis'!O$46)</f>
        <v>8</v>
      </c>
      <c r="P50">
        <f>COUNTIFS('Reason_to_switch_&amp;_keep_using'!$K:$K,'Exploratory Data Analysis'!$M50,'Reason_to_switch_&amp;_keep_using'!$D:$D,'Exploratory Data Analysis'!P$46)</f>
        <v>5</v>
      </c>
      <c r="Q50">
        <f>COUNTIFS('Reason_to_switch_&amp;_keep_using'!$K:$K,'Exploratory Data Analysis'!$M50,'Reason_to_switch_&amp;_keep_using'!$D:$D,'Exploratory Data Analysis'!Q$46)</f>
        <v>7</v>
      </c>
    </row>
    <row r="51" spans="2:17" x14ac:dyDescent="0.25">
      <c r="M51" s="5" t="s">
        <v>800</v>
      </c>
      <c r="N51">
        <f>COUNTIFS('Reason_to_switch_&amp;_keep_using'!$K:$K,'Exploratory Data Analysis'!$M51,'Reason_to_switch_&amp;_keep_using'!$D:$D,'Exploratory Data Analysis'!N$46)</f>
        <v>2</v>
      </c>
      <c r="O51">
        <f>COUNTIFS('Reason_to_switch_&amp;_keep_using'!$K:$K,'Exploratory Data Analysis'!$M51,'Reason_to_switch_&amp;_keep_using'!$D:$D,'Exploratory Data Analysis'!O$46)</f>
        <v>6</v>
      </c>
      <c r="P51">
        <f>COUNTIFS('Reason_to_switch_&amp;_keep_using'!$K:$K,'Exploratory Data Analysis'!$M51,'Reason_to_switch_&amp;_keep_using'!$D:$D,'Exploratory Data Analysis'!P$46)</f>
        <v>0</v>
      </c>
      <c r="Q51">
        <f>COUNTIFS('Reason_to_switch_&amp;_keep_using'!$K:$K,'Exploratory Data Analysis'!$M51,'Reason_to_switch_&amp;_keep_using'!$D:$D,'Exploratory Data Analysis'!Q$46)</f>
        <v>1</v>
      </c>
    </row>
    <row r="52" spans="2:17" x14ac:dyDescent="0.25">
      <c r="M52" s="5" t="s">
        <v>787</v>
      </c>
      <c r="N52">
        <f>COUNTIFS('Reason_to_switch_&amp;_keep_using'!$K:$K,'Exploratory Data Analysis'!$M52,'Reason_to_switch_&amp;_keep_using'!$D:$D,'Exploratory Data Analysis'!N$46)</f>
        <v>5</v>
      </c>
      <c r="O52">
        <f>COUNTIFS('Reason_to_switch_&amp;_keep_using'!$K:$K,'Exploratory Data Analysis'!$M52,'Reason_to_switch_&amp;_keep_using'!$D:$D,'Exploratory Data Analysis'!O$46)</f>
        <v>1</v>
      </c>
      <c r="P52">
        <f>COUNTIFS('Reason_to_switch_&amp;_keep_using'!$K:$K,'Exploratory Data Analysis'!$M52,'Reason_to_switch_&amp;_keep_using'!$D:$D,'Exploratory Data Analysis'!P$46)</f>
        <v>0</v>
      </c>
      <c r="Q52">
        <f>COUNTIFS('Reason_to_switch_&amp;_keep_using'!$K:$K,'Exploratory Data Analysis'!$M52,'Reason_to_switch_&amp;_keep_using'!$D:$D,'Exploratory Data Analysis'!Q$46)</f>
        <v>2</v>
      </c>
    </row>
    <row r="53" spans="2:17" x14ac:dyDescent="0.25">
      <c r="M53" s="5" t="s">
        <v>801</v>
      </c>
      <c r="N53">
        <f>COUNTIFS('Reason_to_switch_&amp;_keep_using'!$K:$K,'Exploratory Data Analysis'!$M53,'Reason_to_switch_&amp;_keep_using'!$D:$D,'Exploratory Data Analysis'!N$46)</f>
        <v>3</v>
      </c>
      <c r="O53">
        <f>COUNTIFS('Reason_to_switch_&amp;_keep_using'!$K:$K,'Exploratory Data Analysis'!$M53,'Reason_to_switch_&amp;_keep_using'!$D:$D,'Exploratory Data Analysis'!O$46)</f>
        <v>6</v>
      </c>
      <c r="P53">
        <f>COUNTIFS('Reason_to_switch_&amp;_keep_using'!$K:$K,'Exploratory Data Analysis'!$M53,'Reason_to_switch_&amp;_keep_using'!$D:$D,'Exploratory Data Analysis'!P$46)</f>
        <v>1</v>
      </c>
      <c r="Q53">
        <f>COUNTIFS('Reason_to_switch_&amp;_keep_using'!$K:$K,'Exploratory Data Analysis'!$M53,'Reason_to_switch_&amp;_keep_using'!$D:$D,'Exploratory Data Analysis'!Q$46)</f>
        <v>1</v>
      </c>
    </row>
    <row r="54" spans="2:17" x14ac:dyDescent="0.25">
      <c r="M54" s="5" t="s">
        <v>802</v>
      </c>
      <c r="N54">
        <f>COUNTIFS('Reason_to_switch_&amp;_keep_using'!$K:$K,'Exploratory Data Analysis'!$M54,'Reason_to_switch_&amp;_keep_using'!$D:$D,'Exploratory Data Analysis'!N$46)</f>
        <v>0</v>
      </c>
      <c r="O54">
        <f>COUNTIFS('Reason_to_switch_&amp;_keep_using'!$K:$K,'Exploratory Data Analysis'!$M54,'Reason_to_switch_&amp;_keep_using'!$D:$D,'Exploratory Data Analysis'!O$46)</f>
        <v>0</v>
      </c>
      <c r="P54">
        <f>COUNTIFS('Reason_to_switch_&amp;_keep_using'!$K:$K,'Exploratory Data Analysis'!$M54,'Reason_to_switch_&amp;_keep_using'!$D:$D,'Exploratory Data Analysis'!P$46)</f>
        <v>0</v>
      </c>
      <c r="Q54">
        <f>COUNTIFS('Reason_to_switch_&amp;_keep_using'!$K:$K,'Exploratory Data Analysis'!$M54,'Reason_to_switch_&amp;_keep_using'!$D:$D,'Exploratory Data Analysis'!Q$46)</f>
        <v>2</v>
      </c>
    </row>
    <row r="56" spans="2:17" ht="13" x14ac:dyDescent="0.3">
      <c r="B56" s="50" t="s">
        <v>780</v>
      </c>
      <c r="C56" s="50"/>
      <c r="D56" s="50"/>
      <c r="E56" s="50"/>
    </row>
    <row r="57" spans="2:17" ht="13" x14ac:dyDescent="0.3">
      <c r="B57" s="44" t="s">
        <v>827</v>
      </c>
      <c r="C57" s="44" t="s">
        <v>759</v>
      </c>
      <c r="D57" s="44" t="s">
        <v>766</v>
      </c>
    </row>
    <row r="58" spans="2:17" x14ac:dyDescent="0.25">
      <c r="B58" t="str" cm="1">
        <f t="array" ref="B58:B61">_xlfn.UNIQUE(SINGLE_RESPONSES[FAVORITE])</f>
        <v>easypaisa</v>
      </c>
      <c r="C58">
        <f>COUNTIF(SINGLE_RESPONSES[FAVORITE],B58)</f>
        <v>43</v>
      </c>
      <c r="D58" s="10">
        <f>C58/150</f>
        <v>0.28666666666666668</v>
      </c>
    </row>
    <row r="59" spans="2:17" x14ac:dyDescent="0.25">
      <c r="B59" t="str">
        <v>sadapay</v>
      </c>
      <c r="C59">
        <f>COUNTIF(SINGLE_RESPONSES[FAVORITE],B59)</f>
        <v>18</v>
      </c>
      <c r="D59" s="10">
        <f t="shared" ref="D59:D61" si="1">C59/150</f>
        <v>0.12</v>
      </c>
    </row>
    <row r="60" spans="2:17" x14ac:dyDescent="0.25">
      <c r="B60" t="str">
        <v>nayapay</v>
      </c>
      <c r="C60">
        <f>COUNTIF(SINGLE_RESPONSES[FAVORITE],B60)</f>
        <v>24</v>
      </c>
      <c r="D60" s="10">
        <f t="shared" si="1"/>
        <v>0.16</v>
      </c>
    </row>
    <row r="61" spans="2:17" x14ac:dyDescent="0.25">
      <c r="B61" t="str">
        <v>jazzcash</v>
      </c>
      <c r="C61">
        <f>COUNTIF(SINGLE_RESPONSES[FAVORITE],B61)</f>
        <v>65</v>
      </c>
      <c r="D61" s="10">
        <f t="shared" si="1"/>
        <v>0.43333333333333335</v>
      </c>
    </row>
    <row r="71" spans="1:8" ht="13" x14ac:dyDescent="0.3">
      <c r="B71" s="50" t="s">
        <v>777</v>
      </c>
      <c r="C71" s="50"/>
      <c r="D71" s="50"/>
      <c r="E71" s="50"/>
    </row>
    <row r="72" spans="1:8" ht="13" x14ac:dyDescent="0.3">
      <c r="E72" s="44"/>
      <c r="F72" s="44"/>
      <c r="G72" s="44"/>
      <c r="H72" s="44"/>
    </row>
    <row r="73" spans="1:8" x14ac:dyDescent="0.25">
      <c r="A73">
        <v>1</v>
      </c>
      <c r="B73" t="s">
        <v>316</v>
      </c>
      <c r="C73">
        <f ca="1">COUNTIFS($H$2:$H$151,$D73,$G$2:$G$151,C$227)</f>
        <v>3</v>
      </c>
      <c r="D73">
        <f t="shared" ref="D73:F73" ca="1" si="2">COUNTIFS($H$2:$H$151,$D73,$G$2:$G$151,D$227)</f>
        <v>3</v>
      </c>
      <c r="E73">
        <f t="shared" ca="1" si="2"/>
        <v>0</v>
      </c>
      <c r="F73">
        <f t="shared" ca="1" si="2"/>
        <v>4</v>
      </c>
    </row>
    <row r="74" spans="1:8" x14ac:dyDescent="0.25">
      <c r="A74">
        <v>2</v>
      </c>
      <c r="B74" t="s">
        <v>197</v>
      </c>
      <c r="C74">
        <f t="shared" ref="C74:F79" ca="1" si="3">COUNTIFS($H$2:$H$151,$D74,$G$2:$G$151,C$227)</f>
        <v>1</v>
      </c>
      <c r="D74">
        <f t="shared" ca="1" si="3"/>
        <v>0</v>
      </c>
      <c r="E74">
        <f t="shared" ca="1" si="3"/>
        <v>0</v>
      </c>
      <c r="F74">
        <f t="shared" ca="1" si="3"/>
        <v>7</v>
      </c>
    </row>
    <row r="75" spans="1:8" x14ac:dyDescent="0.25">
      <c r="A75">
        <v>3</v>
      </c>
      <c r="B75" t="s">
        <v>216</v>
      </c>
      <c r="C75">
        <f t="shared" ca="1" si="3"/>
        <v>1</v>
      </c>
      <c r="D75">
        <f t="shared" ca="1" si="3"/>
        <v>2</v>
      </c>
      <c r="E75">
        <f t="shared" ca="1" si="3"/>
        <v>1</v>
      </c>
      <c r="F75">
        <f t="shared" ca="1" si="3"/>
        <v>2</v>
      </c>
    </row>
    <row r="76" spans="1:8" x14ac:dyDescent="0.25">
      <c r="A76">
        <v>4</v>
      </c>
      <c r="B76" t="s">
        <v>47</v>
      </c>
      <c r="C76">
        <f t="shared" ca="1" si="3"/>
        <v>5</v>
      </c>
      <c r="D76">
        <f t="shared" ca="1" si="3"/>
        <v>1</v>
      </c>
      <c r="E76">
        <f t="shared" ca="1" si="3"/>
        <v>2</v>
      </c>
      <c r="F76">
        <f t="shared" ca="1" si="3"/>
        <v>9</v>
      </c>
    </row>
    <row r="77" spans="1:8" x14ac:dyDescent="0.25">
      <c r="A77">
        <v>5</v>
      </c>
      <c r="B77" t="s">
        <v>72</v>
      </c>
      <c r="C77">
        <f t="shared" ca="1" si="3"/>
        <v>5</v>
      </c>
      <c r="D77">
        <f t="shared" ca="1" si="3"/>
        <v>3</v>
      </c>
      <c r="E77">
        <f t="shared" ca="1" si="3"/>
        <v>2</v>
      </c>
      <c r="F77">
        <f t="shared" ca="1" si="3"/>
        <v>5</v>
      </c>
    </row>
    <row r="78" spans="1:8" x14ac:dyDescent="0.25">
      <c r="A78">
        <v>6</v>
      </c>
      <c r="B78" t="s">
        <v>36</v>
      </c>
      <c r="C78">
        <f t="shared" ca="1" si="3"/>
        <v>6</v>
      </c>
      <c r="D78">
        <f t="shared" ca="1" si="3"/>
        <v>2</v>
      </c>
      <c r="E78">
        <f t="shared" ca="1" si="3"/>
        <v>1</v>
      </c>
      <c r="F78">
        <f t="shared" ca="1" si="3"/>
        <v>7</v>
      </c>
    </row>
    <row r="79" spans="1:8" x14ac:dyDescent="0.25">
      <c r="A79">
        <v>7</v>
      </c>
      <c r="B79" t="s">
        <v>60</v>
      </c>
      <c r="C79">
        <f t="shared" ca="1" si="3"/>
        <v>22</v>
      </c>
      <c r="D79">
        <f t="shared" ca="1" si="3"/>
        <v>7</v>
      </c>
      <c r="E79">
        <f t="shared" ca="1" si="3"/>
        <v>18</v>
      </c>
      <c r="F79">
        <f t="shared" ca="1" si="3"/>
        <v>31</v>
      </c>
    </row>
    <row r="83" spans="2:5" ht="13" customHeight="1" x14ac:dyDescent="0.25">
      <c r="B83" s="51" t="s">
        <v>779</v>
      </c>
      <c r="C83" s="51"/>
      <c r="D83" s="51"/>
      <c r="E83" s="51"/>
    </row>
    <row r="84" spans="2:5" ht="12.5" customHeight="1" x14ac:dyDescent="0.25"/>
    <row r="85" spans="2:5" ht="12.5" customHeight="1" x14ac:dyDescent="0.25"/>
    <row r="86" spans="2:5" ht="13" customHeight="1" x14ac:dyDescent="0.3">
      <c r="B86" s="52" t="s">
        <v>831</v>
      </c>
      <c r="C86" s="44" t="s">
        <v>830</v>
      </c>
      <c r="D86" s="44" t="s">
        <v>759</v>
      </c>
      <c r="E86" s="44" t="s">
        <v>766</v>
      </c>
    </row>
    <row r="87" spans="2:5" x14ac:dyDescent="0.25">
      <c r="B87" s="52"/>
      <c r="C87" t="s">
        <v>32</v>
      </c>
      <c r="D87">
        <f>COUNTIF(SINGLE_RESPONSES[Previous Brand],C87)</f>
        <v>55</v>
      </c>
      <c r="E87" s="10">
        <f>D87/150</f>
        <v>0.36666666666666664</v>
      </c>
    </row>
    <row r="88" spans="2:5" x14ac:dyDescent="0.25">
      <c r="B88" s="52"/>
      <c r="C88" t="s">
        <v>717</v>
      </c>
      <c r="D88">
        <f>COUNTIF(SINGLE_RESPONSES[Previous Brand],C88)</f>
        <v>11</v>
      </c>
      <c r="E88" s="10">
        <f t="shared" ref="E88:E90" si="4">D88/150</f>
        <v>7.3333333333333334E-2</v>
      </c>
    </row>
    <row r="89" spans="2:5" x14ac:dyDescent="0.25">
      <c r="B89" s="52"/>
      <c r="C89" t="s">
        <v>369</v>
      </c>
      <c r="D89">
        <f>COUNTIF(SINGLE_RESPONSES[Previous Brand],C89)</f>
        <v>15</v>
      </c>
      <c r="E89" s="10">
        <f t="shared" si="4"/>
        <v>0.1</v>
      </c>
    </row>
    <row r="90" spans="2:5" ht="12" customHeight="1" x14ac:dyDescent="0.25">
      <c r="B90" s="52"/>
      <c r="C90" t="s">
        <v>329</v>
      </c>
      <c r="D90">
        <f>COUNTIF(SINGLE_RESPONSES[Previous Brand],C90)</f>
        <v>69</v>
      </c>
      <c r="E90" s="10">
        <f t="shared" si="4"/>
        <v>0.46</v>
      </c>
    </row>
  </sheetData>
  <mergeCells count="14">
    <mergeCell ref="B56:E56"/>
    <mergeCell ref="B71:E71"/>
    <mergeCell ref="B83:E83"/>
    <mergeCell ref="B86:B90"/>
    <mergeCell ref="M7:M16"/>
    <mergeCell ref="B7:E7"/>
    <mergeCell ref="B24:E24"/>
    <mergeCell ref="B41:E41"/>
    <mergeCell ref="B3:R5"/>
    <mergeCell ref="M24:M25"/>
    <mergeCell ref="N24:Q24"/>
    <mergeCell ref="M45:M46"/>
    <mergeCell ref="N45:Q45"/>
    <mergeCell ref="O7:Q8"/>
  </mergeCells>
  <conditionalFormatting sqref="C73:F79">
    <cfRule type="colorScale" priority="10">
      <colorScale>
        <cfvo type="min"/>
        <cfvo type="percentile" val="50"/>
        <cfvo type="max"/>
        <color rgb="FFF8696B"/>
        <color rgb="FFFFEB84"/>
        <color rgb="FF63BE7B"/>
      </colorScale>
    </cfRule>
  </conditionalFormatting>
  <conditionalFormatting sqref="E87:E90">
    <cfRule type="colorScale" priority="11">
      <colorScale>
        <cfvo type="min"/>
        <cfvo type="percentile" val="50"/>
        <cfvo type="max"/>
        <color rgb="FFF8696B"/>
        <color rgb="FFFFEB84"/>
        <color rgb="FF63BE7B"/>
      </colorScale>
    </cfRule>
  </conditionalFormatting>
  <conditionalFormatting sqref="G73:H79">
    <cfRule type="colorScale" priority="12">
      <colorScale>
        <cfvo type="min"/>
        <cfvo type="percentile" val="50"/>
        <cfvo type="max"/>
        <color rgb="FFF8696B"/>
        <color rgb="FFFFEB84"/>
        <color rgb="FF63BE7B"/>
      </colorScale>
    </cfRule>
  </conditionalFormatting>
  <conditionalFormatting sqref="N27:Q33">
    <cfRule type="colorScale" priority="5">
      <colorScale>
        <cfvo type="min"/>
        <cfvo type="percentile" val="50"/>
        <cfvo type="max"/>
        <color rgb="FFF8696B"/>
        <color rgb="FFFFEB84"/>
        <color rgb="FF63BE7B"/>
      </colorScale>
    </cfRule>
  </conditionalFormatting>
  <conditionalFormatting sqref="N35:Q39">
    <cfRule type="colorScale" priority="2">
      <colorScale>
        <cfvo type="min"/>
        <cfvo type="percentile" val="50"/>
        <cfvo type="max"/>
        <color rgb="FFF8696B"/>
        <color rgb="FFFFEB84"/>
        <color rgb="FF63BE7B"/>
      </colorScale>
    </cfRule>
  </conditionalFormatting>
  <conditionalFormatting sqref="N47:Q54">
    <cfRule type="colorScale" priority="1">
      <colorScale>
        <cfvo type="min"/>
        <cfvo type="percentile" val="50"/>
        <cfvo type="max"/>
        <color rgb="FFF8696B"/>
        <color rgb="FFFFEB84"/>
        <color rgb="FF63BE7B"/>
      </colorScale>
    </cfRule>
  </conditionalFormatting>
  <conditionalFormatting sqref="O10">
    <cfRule type="colorScale" priority="7">
      <colorScale>
        <cfvo type="min"/>
        <cfvo type="percentile" val="50"/>
        <cfvo type="max"/>
        <color rgb="FFF8696B"/>
        <color rgb="FFFFEB84"/>
        <color rgb="FF63BE7B"/>
      </colorScale>
    </cfRule>
  </conditionalFormatting>
  <conditionalFormatting sqref="O10:R13">
    <cfRule type="colorScale" priority="6">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C48-2674-4641-A0FB-93C8448147FC}">
  <dimension ref="B1:X24"/>
  <sheetViews>
    <sheetView zoomScale="70" zoomScaleNormal="70" workbookViewId="0">
      <selection activeCell="G24" sqref="G24"/>
    </sheetView>
  </sheetViews>
  <sheetFormatPr defaultRowHeight="12.5" x14ac:dyDescent="0.25"/>
  <cols>
    <col min="2" max="2" width="18.6328125" bestFit="1" customWidth="1"/>
    <col min="4" max="4" width="10.1796875" bestFit="1" customWidth="1"/>
    <col min="5" max="5" width="9.453125" customWidth="1"/>
    <col min="6" max="6" width="10.81640625" customWidth="1"/>
    <col min="7" max="7" width="18.6328125" bestFit="1" customWidth="1"/>
    <col min="12" max="12" width="16.08984375" bestFit="1" customWidth="1"/>
    <col min="17" max="17" width="11" bestFit="1" customWidth="1"/>
    <col min="22" max="22" width="9.81640625" bestFit="1" customWidth="1"/>
  </cols>
  <sheetData>
    <row r="1" spans="2:24" x14ac:dyDescent="0.25">
      <c r="B1">
        <f>COUNTA(SINGLE_RESPONSES[TOM])</f>
        <v>150</v>
      </c>
    </row>
    <row r="6" spans="2:24" x14ac:dyDescent="0.25">
      <c r="B6" s="11" t="s">
        <v>758</v>
      </c>
      <c r="C6" s="5" t="s">
        <v>759</v>
      </c>
      <c r="D6" s="5" t="s">
        <v>760</v>
      </c>
      <c r="G6" s="11" t="s">
        <v>761</v>
      </c>
      <c r="H6" s="5" t="s">
        <v>759</v>
      </c>
      <c r="I6" s="5" t="s">
        <v>760</v>
      </c>
      <c r="L6" s="11" t="s">
        <v>7</v>
      </c>
      <c r="M6" s="5" t="s">
        <v>759</v>
      </c>
      <c r="N6" s="5" t="s">
        <v>760</v>
      </c>
      <c r="Q6" s="12" t="s">
        <v>6</v>
      </c>
      <c r="R6" s="5" t="s">
        <v>759</v>
      </c>
      <c r="S6" s="5" t="s">
        <v>760</v>
      </c>
      <c r="V6" s="12" t="s">
        <v>8</v>
      </c>
      <c r="W6" s="5" t="s">
        <v>759</v>
      </c>
      <c r="X6" s="5" t="s">
        <v>760</v>
      </c>
    </row>
    <row r="7" spans="2:24" x14ac:dyDescent="0.25">
      <c r="B7" t="str" cm="1">
        <f t="array" ref="B7:B13">_xlfn.UNIQUE(SINGLE_RESPONSES[TOM])</f>
        <v>easypaisa</v>
      </c>
      <c r="C7">
        <f>COUNTIF(SINGLE_RESPONSES[TOM],B7)</f>
        <v>46</v>
      </c>
      <c r="D7" s="10">
        <f>C7/$B$1</f>
        <v>0.30666666666666664</v>
      </c>
      <c r="G7" t="str" cm="1">
        <f t="array" ref="G7:G13">_xlfn.UNIQUE(SINGLE_RESPONSES[TOM])</f>
        <v>easypaisa</v>
      </c>
      <c r="H7">
        <v>100</v>
      </c>
      <c r="I7" s="10">
        <f>H7/$B$1</f>
        <v>0.66666666666666663</v>
      </c>
      <c r="L7" t="str" cm="1">
        <f t="array" ref="L7:L13">_xlfn.UNIQUE(SINGLE_RESPONSES[TOM])</f>
        <v>easypaisa</v>
      </c>
      <c r="M7">
        <f>COUNTIF(CURRENT_USAGE[APP],L7)</f>
        <v>77</v>
      </c>
      <c r="N7" s="10">
        <f>M7/$B$1</f>
        <v>0.51333333333333331</v>
      </c>
      <c r="Q7" t="str" cm="1">
        <f t="array" ref="Q7:Q13">_xlfn.UNIQUE(SINGLE_RESPONSES[TOM])</f>
        <v>easypaisa</v>
      </c>
      <c r="R7">
        <f>COUNTIF(EVER_USED[APP],Q7)</f>
        <v>89</v>
      </c>
      <c r="S7" s="10">
        <f>R7/$B$1</f>
        <v>0.59333333333333338</v>
      </c>
      <c r="V7" t="str" cm="1">
        <f t="array" ref="V7:V13">_xlfn.UNIQUE(SINGLE_RESPONSES[TOM])</f>
        <v>easypaisa</v>
      </c>
      <c r="W7">
        <f>COUNTIF(SINGLE_RESPONSES[FAVORITE],V7)</f>
        <v>43</v>
      </c>
      <c r="X7" s="10">
        <f>W7/$B$1</f>
        <v>0.28666666666666668</v>
      </c>
    </row>
    <row r="8" spans="2:24" x14ac:dyDescent="0.25">
      <c r="B8" t="str">
        <v>sadapay</v>
      </c>
      <c r="C8">
        <f>COUNTIF(SINGLE_RESPONSES[TOM],B8)</f>
        <v>8</v>
      </c>
      <c r="D8" s="10">
        <f t="shared" ref="D8:D14" si="0">C8/$B$1</f>
        <v>5.3333333333333337E-2</v>
      </c>
      <c r="G8" t="str">
        <v>sadapay</v>
      </c>
      <c r="H8">
        <v>61</v>
      </c>
      <c r="I8" s="10">
        <f>H8/150</f>
        <v>0.40666666666666668</v>
      </c>
      <c r="L8" t="str">
        <v>sadapay</v>
      </c>
      <c r="M8">
        <f>COUNTIF(CURRENT_USAGE[APP],L8)</f>
        <v>41</v>
      </c>
      <c r="N8" s="10">
        <f t="shared" ref="N8:N13" si="1">M8/$B$1</f>
        <v>0.27333333333333332</v>
      </c>
      <c r="Q8" t="str">
        <v>sadapay</v>
      </c>
      <c r="R8">
        <f>COUNTIF(EVER_USED[APP],Q8)</f>
        <v>57</v>
      </c>
      <c r="S8" s="10">
        <f t="shared" ref="S8:S13" si="2">R8/$B$1</f>
        <v>0.38</v>
      </c>
      <c r="V8" t="str">
        <v>sadapay</v>
      </c>
      <c r="W8">
        <f>COUNTIF(SINGLE_RESPONSES[FAVORITE],V8)</f>
        <v>18</v>
      </c>
      <c r="X8" s="10">
        <f t="shared" ref="X8:X13" si="3">W8/$B$1</f>
        <v>0.12</v>
      </c>
    </row>
    <row r="9" spans="2:24" x14ac:dyDescent="0.25">
      <c r="B9" t="str">
        <v>jazzcash</v>
      </c>
      <c r="C9">
        <f>COUNTIF(SINGLE_RESPONSES[TOM],B9)</f>
        <v>83</v>
      </c>
      <c r="D9" s="10">
        <f t="shared" si="0"/>
        <v>0.55333333333333334</v>
      </c>
      <c r="G9" t="str">
        <v>jazzcash</v>
      </c>
      <c r="H9">
        <v>114</v>
      </c>
      <c r="I9" s="10">
        <f>Engineered_Awareness_data!G154</f>
        <v>0.76</v>
      </c>
      <c r="L9" t="str">
        <v>jazzcash</v>
      </c>
      <c r="M9">
        <f>COUNTIF(CURRENT_USAGE[APP],L9)</f>
        <v>93</v>
      </c>
      <c r="N9" s="10">
        <f t="shared" si="1"/>
        <v>0.62</v>
      </c>
      <c r="Q9" t="str">
        <v>jazzcash</v>
      </c>
      <c r="R9">
        <f>COUNTIF(EVER_USED[APP],Q9)</f>
        <v>99</v>
      </c>
      <c r="S9" s="10">
        <f t="shared" si="2"/>
        <v>0.66</v>
      </c>
      <c r="V9" t="str">
        <v>jazzcash</v>
      </c>
      <c r="W9">
        <f>COUNTIF(SINGLE_RESPONSES[FAVORITE],V9)</f>
        <v>65</v>
      </c>
      <c r="X9" s="10">
        <f t="shared" si="3"/>
        <v>0.43333333333333335</v>
      </c>
    </row>
    <row r="10" spans="2:24" x14ac:dyDescent="0.25">
      <c r="B10" t="str">
        <v>nayapay</v>
      </c>
      <c r="C10">
        <f>COUNTIF(SINGLE_RESPONSES[TOM],B10)</f>
        <v>10</v>
      </c>
      <c r="D10" s="10">
        <f t="shared" si="0"/>
        <v>6.6666666666666666E-2</v>
      </c>
      <c r="G10" t="str">
        <v>nayapay</v>
      </c>
      <c r="H10">
        <v>55</v>
      </c>
      <c r="I10" s="10">
        <f t="shared" ref="I10:I13" si="4">H10/$B$1</f>
        <v>0.36666666666666664</v>
      </c>
      <c r="L10" t="str">
        <v>nayapay</v>
      </c>
      <c r="M10">
        <f>COUNTIF(CURRENT_USAGE[APP],L10)</f>
        <v>43</v>
      </c>
      <c r="N10" s="10">
        <f t="shared" si="1"/>
        <v>0.28666666666666668</v>
      </c>
      <c r="Q10" t="str">
        <v>nayapay</v>
      </c>
      <c r="R10">
        <f>COUNTIF(EVER_USED[APP],Q10)</f>
        <v>53</v>
      </c>
      <c r="S10" s="10">
        <f t="shared" si="2"/>
        <v>0.35333333333333333</v>
      </c>
      <c r="V10" t="str">
        <v>nayapay</v>
      </c>
      <c r="W10">
        <f>COUNTIF(SINGLE_RESPONSES[FAVORITE],V10)</f>
        <v>24</v>
      </c>
      <c r="X10" s="10">
        <f t="shared" si="3"/>
        <v>0.16</v>
      </c>
    </row>
    <row r="11" spans="2:24" x14ac:dyDescent="0.25">
      <c r="B11" t="str">
        <v>bankaccount</v>
      </c>
      <c r="C11">
        <f>COUNTIF(SINGLE_RESPONSES[TOM],B11)</f>
        <v>1</v>
      </c>
      <c r="D11" s="10">
        <f t="shared" si="0"/>
        <v>6.6666666666666671E-3</v>
      </c>
      <c r="G11" t="str">
        <v>bankaccount</v>
      </c>
      <c r="H11">
        <f>COUNTIF(Engineered_Awareness_data!$B$2:$B$151,Top_of_Mind_Awareness!G11)</f>
        <v>0</v>
      </c>
      <c r="I11" s="10">
        <f t="shared" si="4"/>
        <v>0</v>
      </c>
      <c r="L11" t="str">
        <v>bankaccount</v>
      </c>
      <c r="M11">
        <f>COUNTIF(CURRENT_USAGE[APP],L11)</f>
        <v>0</v>
      </c>
      <c r="N11" s="10">
        <f t="shared" si="1"/>
        <v>0</v>
      </c>
      <c r="Q11" t="str">
        <v>bankaccount</v>
      </c>
      <c r="R11">
        <f>COUNTIF(EVER_USED[APP],Q11)</f>
        <v>0</v>
      </c>
      <c r="S11" s="10">
        <f t="shared" si="2"/>
        <v>0</v>
      </c>
      <c r="V11" t="str">
        <v>bankaccount</v>
      </c>
      <c r="W11">
        <f>COUNTIF(SINGLE_RESPONSES[FAVORITE],V11)</f>
        <v>0</v>
      </c>
      <c r="X11" s="10">
        <f t="shared" si="3"/>
        <v>0</v>
      </c>
    </row>
    <row r="12" spans="2:24" x14ac:dyDescent="0.25">
      <c r="B12" t="str">
        <v>mashreq</v>
      </c>
      <c r="C12">
        <f>COUNTIF(SINGLE_RESPONSES[TOM],B12)</f>
        <v>1</v>
      </c>
      <c r="D12" s="10">
        <f t="shared" si="0"/>
        <v>6.6666666666666671E-3</v>
      </c>
      <c r="G12" t="str">
        <v>mashreq</v>
      </c>
      <c r="H12">
        <f>COUNTIF(Engineered_Awareness_data!$B$2:$B$151,Top_of_Mind_Awareness!G12)</f>
        <v>0</v>
      </c>
      <c r="I12" s="10">
        <f t="shared" si="4"/>
        <v>0</v>
      </c>
      <c r="L12" t="str">
        <v>mashreq</v>
      </c>
      <c r="M12">
        <f>COUNTIF(CURRENT_USAGE[APP],L12)</f>
        <v>0</v>
      </c>
      <c r="N12" s="10">
        <f t="shared" si="1"/>
        <v>0</v>
      </c>
      <c r="Q12" t="str">
        <v>mashreq</v>
      </c>
      <c r="R12">
        <f>COUNTIF(EVER_USED[APP],Q12)</f>
        <v>0</v>
      </c>
      <c r="S12" s="10">
        <f t="shared" si="2"/>
        <v>0</v>
      </c>
      <c r="V12" t="str">
        <v>mashreq</v>
      </c>
      <c r="W12">
        <f>COUNTIF(SINGLE_RESPONSES[FAVORITE],V12)</f>
        <v>0</v>
      </c>
      <c r="X12" s="10">
        <f t="shared" si="3"/>
        <v>0</v>
      </c>
    </row>
    <row r="13" spans="2:24" x14ac:dyDescent="0.25">
      <c r="B13" t="str">
        <v>hbl</v>
      </c>
      <c r="C13">
        <f>COUNTIF(SINGLE_RESPONSES[TOM],B13)</f>
        <v>1</v>
      </c>
      <c r="D13" s="10">
        <f t="shared" si="0"/>
        <v>6.6666666666666671E-3</v>
      </c>
      <c r="G13" t="str">
        <v>hbl</v>
      </c>
      <c r="H13">
        <f>COUNTIF(Engineered_Awareness_data!$B$2:$B$151,Top_of_Mind_Awareness!G13)</f>
        <v>0</v>
      </c>
      <c r="I13" s="10">
        <f t="shared" si="4"/>
        <v>0</v>
      </c>
      <c r="L13" t="str">
        <v>hbl</v>
      </c>
      <c r="M13">
        <f>COUNTIF(CURRENT_USAGE[APP],L13)</f>
        <v>0</v>
      </c>
      <c r="N13" s="10">
        <f t="shared" si="1"/>
        <v>0</v>
      </c>
      <c r="Q13" t="str">
        <v>hbl</v>
      </c>
      <c r="R13">
        <f>COUNTIF(EVER_USED[APP],Q13)</f>
        <v>0</v>
      </c>
      <c r="S13" s="10">
        <f t="shared" si="2"/>
        <v>0</v>
      </c>
      <c r="V13" t="str">
        <v>hbl</v>
      </c>
      <c r="W13">
        <f>COUNTIF(SINGLE_RESPONSES[FAVORITE],V13)</f>
        <v>0</v>
      </c>
      <c r="X13" s="10">
        <f t="shared" si="3"/>
        <v>0</v>
      </c>
    </row>
    <row r="14" spans="2:24" x14ac:dyDescent="0.25">
      <c r="C14" s="5">
        <f>SUM(C7:C13)</f>
        <v>150</v>
      </c>
      <c r="D14" s="10">
        <f t="shared" si="0"/>
        <v>1</v>
      </c>
      <c r="I14" s="13">
        <f>SUM(I7:I13)</f>
        <v>2.1999999999999997</v>
      </c>
    </row>
    <row r="19" spans="2:6" x14ac:dyDescent="0.25">
      <c r="C19" s="5" t="s">
        <v>329</v>
      </c>
      <c r="D19" s="5" t="s">
        <v>32</v>
      </c>
      <c r="E19" s="5" t="s">
        <v>717</v>
      </c>
      <c r="F19" s="5" t="s">
        <v>369</v>
      </c>
    </row>
    <row r="20" spans="2:6" x14ac:dyDescent="0.25">
      <c r="B20" s="11" t="s">
        <v>822</v>
      </c>
      <c r="C20" s="13">
        <f>Engineered_Awareness_data!G154</f>
        <v>0.76</v>
      </c>
      <c r="D20" s="13">
        <f>Engineered_Awareness_data!H154</f>
        <v>0.66666666666666663</v>
      </c>
      <c r="E20" s="13">
        <f>Engineered_Awareness_data!I154</f>
        <v>0.40666666666666668</v>
      </c>
      <c r="F20" s="13">
        <f>Engineered_Awareness_data!J154</f>
        <v>0.36666666666666664</v>
      </c>
    </row>
    <row r="21" spans="2:6" x14ac:dyDescent="0.25">
      <c r="B21" s="12" t="s">
        <v>6</v>
      </c>
      <c r="C21" s="10">
        <f>S9</f>
        <v>0.66</v>
      </c>
      <c r="D21" s="13">
        <f>S7</f>
        <v>0.59333333333333338</v>
      </c>
      <c r="E21" s="13">
        <f>S8</f>
        <v>0.38</v>
      </c>
      <c r="F21" s="13">
        <f>S10</f>
        <v>0.35333333333333333</v>
      </c>
    </row>
    <row r="22" spans="2:6" x14ac:dyDescent="0.25">
      <c r="B22" s="11" t="s">
        <v>7</v>
      </c>
      <c r="C22" s="13">
        <f>N9</f>
        <v>0.62</v>
      </c>
      <c r="D22" s="13">
        <f>N7</f>
        <v>0.51333333333333331</v>
      </c>
      <c r="E22" s="13">
        <f>N8</f>
        <v>0.27333333333333332</v>
      </c>
      <c r="F22" s="13">
        <f>S10</f>
        <v>0.35333333333333333</v>
      </c>
    </row>
    <row r="23" spans="2:6" x14ac:dyDescent="0.25">
      <c r="B23" s="12" t="s">
        <v>8</v>
      </c>
      <c r="C23" s="13">
        <f>X9</f>
        <v>0.43333333333333335</v>
      </c>
      <c r="D23" s="13">
        <f>X7</f>
        <v>0.28666666666666668</v>
      </c>
      <c r="E23" s="13">
        <f>X8</f>
        <v>0.12</v>
      </c>
      <c r="F23" s="13">
        <f>X10</f>
        <v>0.16</v>
      </c>
    </row>
    <row r="24" spans="2:6" x14ac:dyDescent="0.25">
      <c r="B24" s="5"/>
      <c r="C24" s="13">
        <f>C23/C20</f>
        <v>0.57017543859649122</v>
      </c>
      <c r="D24" s="13">
        <f t="shared" ref="D24:F24" si="5">D23/D20</f>
        <v>0.43000000000000005</v>
      </c>
      <c r="E24" s="40">
        <f t="shared" si="5"/>
        <v>0.29508196721311475</v>
      </c>
      <c r="F24" s="13">
        <f t="shared" si="5"/>
        <v>0.4363636363636364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0782-7599-4DDC-8D17-16F5B2309E98}">
  <dimension ref="D6:H26"/>
  <sheetViews>
    <sheetView workbookViewId="0">
      <selection activeCell="D28" sqref="D28"/>
    </sheetView>
  </sheetViews>
  <sheetFormatPr defaultRowHeight="12.5" x14ac:dyDescent="0.25"/>
  <cols>
    <col min="4" max="4" width="69.26953125" bestFit="1" customWidth="1"/>
  </cols>
  <sheetData>
    <row r="6" spans="4:8" x14ac:dyDescent="0.25">
      <c r="D6" s="15" t="s">
        <v>757</v>
      </c>
      <c r="E6" t="str" cm="1">
        <f t="array" ref="E6:H6">TRANSPOSE(_xlfn.UNIQUE(IMAGERY[APP]))</f>
        <v>sadapay</v>
      </c>
      <c r="F6" t="str">
        <v>easypaisa</v>
      </c>
      <c r="G6" t="str">
        <v>jazzcash</v>
      </c>
      <c r="H6" t="str">
        <v>nayapay</v>
      </c>
    </row>
    <row r="7" spans="4:8" x14ac:dyDescent="0.25">
      <c r="D7" t="str" cm="1">
        <f t="array" ref="D7:D14">_xlfn.UNIQUE(IMAGERY[IMAGERY])</f>
        <v>Best app interface and user experience (UX)</v>
      </c>
      <c r="E7">
        <f>COUNTIFS(IMAGERY_Data!$B$2:$B$1190,Imagery_Analysis!$D7,IMAGERY_Data!$C$2:$C$1190,Imagery_Analysis!E$6)</f>
        <v>16</v>
      </c>
      <c r="F7">
        <f>COUNTIFS(IMAGERY_Data!$B$2:$B$1190,Imagery_Analysis!$D7,IMAGERY_Data!$C$2:$C$1190,Imagery_Analysis!F$6)</f>
        <v>44</v>
      </c>
      <c r="G7">
        <f>COUNTIFS(IMAGERY_Data!$B$2:$B$1190,Imagery_Analysis!$D7,IMAGERY_Data!$C$2:$C$1190,Imagery_Analysis!G$6)</f>
        <v>66</v>
      </c>
      <c r="H7">
        <f>COUNTIFS(IMAGERY_Data!$B$2:$B$1190,Imagery_Analysis!$D7,IMAGERY_Data!$C$2:$C$1190,Imagery_Analysis!H$6)</f>
        <v>24</v>
      </c>
    </row>
    <row r="8" spans="4:8" x14ac:dyDescent="0.25">
      <c r="D8" t="str">
        <v>Most reliable (least likely to have server/network down issues)</v>
      </c>
      <c r="E8">
        <f>COUNTIFS(IMAGERY_Data!$B$2:$B$1190,Imagery_Analysis!$D8,IMAGERY_Data!$C$2:$C$1190,Imagery_Analysis!E$6)</f>
        <v>20</v>
      </c>
      <c r="F8">
        <f>COUNTIFS(IMAGERY_Data!$B$2:$B$1190,Imagery_Analysis!$D8,IMAGERY_Data!$C$2:$C$1190,Imagery_Analysis!F$6)</f>
        <v>48</v>
      </c>
      <c r="G8">
        <f>COUNTIFS(IMAGERY_Data!$B$2:$B$1190,Imagery_Analysis!$D8,IMAGERY_Data!$C$2:$C$1190,Imagery_Analysis!G$6)</f>
        <v>62</v>
      </c>
      <c r="H8">
        <f>COUNTIFS(IMAGERY_Data!$B$2:$B$1190,Imagery_Analysis!$D8,IMAGERY_Data!$C$2:$C$1190,Imagery_Analysis!H$6)</f>
        <v>19</v>
      </c>
    </row>
    <row r="9" spans="4:8" x14ac:dyDescent="0.25">
      <c r="D9" t="str">
        <v>Offers the best discounts, deals, and cashbacks</v>
      </c>
      <c r="E9">
        <f>COUNTIFS(IMAGERY_Data!$B$2:$B$1190,Imagery_Analysis!$D9,IMAGERY_Data!$C$2:$C$1190,Imagery_Analysis!E$6)</f>
        <v>4</v>
      </c>
      <c r="F9">
        <f>COUNTIFS(IMAGERY_Data!$B$2:$B$1190,Imagery_Analysis!$D9,IMAGERY_Data!$C$2:$C$1190,Imagery_Analysis!F$6)</f>
        <v>53</v>
      </c>
      <c r="G9">
        <f>COUNTIFS(IMAGERY_Data!$B$2:$B$1190,Imagery_Analysis!$D9,IMAGERY_Data!$C$2:$C$1190,Imagery_Analysis!G$6)</f>
        <v>83</v>
      </c>
      <c r="H9">
        <f>COUNTIFS(IMAGERY_Data!$B$2:$B$1190,Imagery_Analysis!$D9,IMAGERY_Data!$C$2:$C$1190,Imagery_Analysis!H$6)</f>
        <v>9</v>
      </c>
    </row>
    <row r="10" spans="4:8" x14ac:dyDescent="0.25">
      <c r="D10" t="str">
        <v>Good customer service and quick issue resolution</v>
      </c>
      <c r="E10">
        <f>COUNTIFS(IMAGERY_Data!$B$2:$B$1190,Imagery_Analysis!$D10,IMAGERY_Data!$C$2:$C$1190,Imagery_Analysis!E$6)</f>
        <v>17</v>
      </c>
      <c r="F10">
        <f>COUNTIFS(IMAGERY_Data!$B$2:$B$1190,Imagery_Analysis!$D10,IMAGERY_Data!$C$2:$C$1190,Imagery_Analysis!F$6)</f>
        <v>50</v>
      </c>
      <c r="G10">
        <f>COUNTIFS(IMAGERY_Data!$B$2:$B$1190,Imagery_Analysis!$D10,IMAGERY_Data!$C$2:$C$1190,Imagery_Analysis!G$6)</f>
        <v>60</v>
      </c>
      <c r="H10">
        <f>COUNTIFS(IMAGERY_Data!$B$2:$B$1190,Imagery_Analysis!$D10,IMAGERY_Data!$C$2:$C$1190,Imagery_Analysis!H$6)</f>
        <v>22</v>
      </c>
    </row>
    <row r="11" spans="4:8" x14ac:dyDescent="0.25">
      <c r="D11" t="str">
        <v>Lowest transaction fees and free inter-bank fund transfers (IBFT)</v>
      </c>
      <c r="E11">
        <f>COUNTIFS(IMAGERY_Data!$B$2:$B$1190,Imagery_Analysis!$D11,IMAGERY_Data!$C$2:$C$1190,Imagery_Analysis!E$6)</f>
        <v>20</v>
      </c>
      <c r="F11">
        <f>COUNTIFS(IMAGERY_Data!$B$2:$B$1190,Imagery_Analysis!$D11,IMAGERY_Data!$C$2:$C$1190,Imagery_Analysis!F$6)</f>
        <v>51</v>
      </c>
      <c r="G11">
        <f>COUNTIFS(IMAGERY_Data!$B$2:$B$1190,Imagery_Analysis!$D11,IMAGERY_Data!$C$2:$C$1190,Imagery_Analysis!G$6)</f>
        <v>51</v>
      </c>
      <c r="H11">
        <f>COUNTIFS(IMAGERY_Data!$B$2:$B$1190,Imagery_Analysis!$D11,IMAGERY_Data!$C$2:$C$1190,Imagery_Analysis!H$6)</f>
        <v>27</v>
      </c>
    </row>
    <row r="12" spans="4:8" x14ac:dyDescent="0.25">
      <c r="D12" t="str">
        <v>Strongest security features</v>
      </c>
      <c r="E12">
        <f>COUNTIFS(IMAGERY_Data!$B$2:$B$1190,Imagery_Analysis!$D12,IMAGERY_Data!$C$2:$C$1190,Imagery_Analysis!E$6)</f>
        <v>14</v>
      </c>
      <c r="F12">
        <f>COUNTIFS(IMAGERY_Data!$B$2:$B$1190,Imagery_Analysis!$D12,IMAGERY_Data!$C$2:$C$1190,Imagery_Analysis!F$6)</f>
        <v>44</v>
      </c>
      <c r="G12">
        <f>COUNTIFS(IMAGERY_Data!$B$2:$B$1190,Imagery_Analysis!$D12,IMAGERY_Data!$C$2:$C$1190,Imagery_Analysis!G$6)</f>
        <v>69</v>
      </c>
      <c r="H12">
        <f>COUNTIFS(IMAGERY_Data!$B$2:$B$1190,Imagery_Analysis!$D12,IMAGERY_Data!$C$2:$C$1190,Imagery_Analysis!H$6)</f>
        <v>22</v>
      </c>
    </row>
    <row r="13" spans="4:8" x14ac:dyDescent="0.25">
      <c r="D13" t="str">
        <v>Easiest and fastest process for opening an account or ordering a physical debit card</v>
      </c>
      <c r="E13">
        <f>COUNTIFS(IMAGERY_Data!$B$2:$B$1190,Imagery_Analysis!$D13,IMAGERY_Data!$C$2:$C$1190,Imagery_Analysis!E$6)</f>
        <v>20</v>
      </c>
      <c r="F13">
        <f>COUNTIFS(IMAGERY_Data!$B$2:$B$1190,Imagery_Analysis!$D13,IMAGERY_Data!$C$2:$C$1190,Imagery_Analysis!F$6)</f>
        <v>44</v>
      </c>
      <c r="G13">
        <f>COUNTIFS(IMAGERY_Data!$B$2:$B$1190,Imagery_Analysis!$D13,IMAGERY_Data!$C$2:$C$1190,Imagery_Analysis!G$6)</f>
        <v>59</v>
      </c>
      <c r="H13">
        <f>COUNTIFS(IMAGERY_Data!$B$2:$B$1190,Imagery_Analysis!$D13,IMAGERY_Data!$C$2:$C$1190,Imagery_Analysis!H$6)</f>
        <v>26</v>
      </c>
    </row>
    <row r="14" spans="4:8" x14ac:dyDescent="0.25">
      <c r="D14" t="str">
        <v>Best app for international payments</v>
      </c>
      <c r="E14">
        <f>COUNTIFS(IMAGERY_Data!$B$2:$B$1190,Imagery_Analysis!$D14,IMAGERY_Data!$C$2:$C$1190,Imagery_Analysis!E$6)</f>
        <v>33</v>
      </c>
      <c r="F14">
        <f>COUNTIFS(IMAGERY_Data!$B$2:$B$1190,Imagery_Analysis!$D14,IMAGERY_Data!$C$2:$C$1190,Imagery_Analysis!F$6)</f>
        <v>27</v>
      </c>
      <c r="G14">
        <f>COUNTIFS(IMAGERY_Data!$B$2:$B$1190,Imagery_Analysis!$D14,IMAGERY_Data!$C$2:$C$1190,Imagery_Analysis!G$6)</f>
        <v>48</v>
      </c>
      <c r="H14">
        <f>COUNTIFS(IMAGERY_Data!$B$2:$B$1190,Imagery_Analysis!$D14,IMAGERY_Data!$C$2:$C$1190,Imagery_Analysis!H$6)</f>
        <v>37</v>
      </c>
    </row>
    <row r="18" spans="4:8" x14ac:dyDescent="0.25">
      <c r="D18" s="15" t="s">
        <v>757</v>
      </c>
      <c r="E18" t="str" cm="1">
        <f t="array" ref="E18:H18">TRANSPOSE(_xlfn.UNIQUE(IMAGERY[APP]))</f>
        <v>sadapay</v>
      </c>
      <c r="F18" t="str">
        <v>easypaisa</v>
      </c>
      <c r="G18" t="str">
        <v>jazzcash</v>
      </c>
      <c r="H18" t="str">
        <v>nayapay</v>
      </c>
    </row>
    <row r="19" spans="4:8" x14ac:dyDescent="0.25">
      <c r="D19" t="str" cm="1">
        <f t="array" ref="D19:D26">_xlfn.UNIQUE(IMAGERY[IMAGERY])</f>
        <v>Best app interface and user experience (UX)</v>
      </c>
      <c r="E19" s="10">
        <f t="shared" ref="E19:H22" si="0">E7/150</f>
        <v>0.10666666666666667</v>
      </c>
      <c r="F19" s="10">
        <f t="shared" si="0"/>
        <v>0.29333333333333333</v>
      </c>
      <c r="G19" s="10">
        <f t="shared" si="0"/>
        <v>0.44</v>
      </c>
      <c r="H19" s="10">
        <f t="shared" si="0"/>
        <v>0.16</v>
      </c>
    </row>
    <row r="20" spans="4:8" x14ac:dyDescent="0.25">
      <c r="D20" t="str">
        <v>Most reliable (least likely to have server/network down issues)</v>
      </c>
      <c r="E20" s="10">
        <f t="shared" si="0"/>
        <v>0.13333333333333333</v>
      </c>
      <c r="F20" s="10">
        <f t="shared" si="0"/>
        <v>0.32</v>
      </c>
      <c r="G20" s="10">
        <f t="shared" si="0"/>
        <v>0.41333333333333333</v>
      </c>
      <c r="H20" s="10">
        <f t="shared" si="0"/>
        <v>0.12666666666666668</v>
      </c>
    </row>
    <row r="21" spans="4:8" x14ac:dyDescent="0.25">
      <c r="D21" t="str">
        <v>Offers the best discounts, deals, and cashbacks</v>
      </c>
      <c r="E21" s="10">
        <f t="shared" si="0"/>
        <v>2.6666666666666668E-2</v>
      </c>
      <c r="F21" s="10">
        <f t="shared" si="0"/>
        <v>0.35333333333333333</v>
      </c>
      <c r="G21" s="10">
        <f t="shared" si="0"/>
        <v>0.55333333333333334</v>
      </c>
      <c r="H21" s="10">
        <f t="shared" si="0"/>
        <v>0.06</v>
      </c>
    </row>
    <row r="22" spans="4:8" x14ac:dyDescent="0.25">
      <c r="D22" t="str">
        <v>Good customer service and quick issue resolution</v>
      </c>
      <c r="E22" s="10">
        <f t="shared" si="0"/>
        <v>0.11333333333333333</v>
      </c>
      <c r="F22" s="10">
        <f t="shared" si="0"/>
        <v>0.33333333333333331</v>
      </c>
      <c r="G22" s="10">
        <f t="shared" si="0"/>
        <v>0.4</v>
      </c>
      <c r="H22" s="10">
        <f t="shared" si="0"/>
        <v>0.14666666666666667</v>
      </c>
    </row>
    <row r="23" spans="4:8" x14ac:dyDescent="0.25">
      <c r="D23" t="str">
        <v>Lowest transaction fees and free inter-bank fund transfers (IBFT)</v>
      </c>
      <c r="E23" s="10">
        <f t="shared" ref="E23:F26" si="1">E11/150</f>
        <v>0.13333333333333333</v>
      </c>
      <c r="F23" s="10">
        <f t="shared" si="1"/>
        <v>0.34</v>
      </c>
      <c r="G23" s="10">
        <f t="shared" ref="G23:H26" si="2">G11/150</f>
        <v>0.34</v>
      </c>
      <c r="H23" s="10">
        <f t="shared" si="2"/>
        <v>0.18</v>
      </c>
    </row>
    <row r="24" spans="4:8" x14ac:dyDescent="0.25">
      <c r="D24" t="str">
        <v>Strongest security features</v>
      </c>
      <c r="E24" s="10">
        <f t="shared" si="1"/>
        <v>9.3333333333333338E-2</v>
      </c>
      <c r="F24" s="10">
        <f t="shared" si="1"/>
        <v>0.29333333333333333</v>
      </c>
      <c r="G24" s="10">
        <f t="shared" si="2"/>
        <v>0.46</v>
      </c>
      <c r="H24" s="10">
        <f t="shared" si="2"/>
        <v>0.14666666666666667</v>
      </c>
    </row>
    <row r="25" spans="4:8" x14ac:dyDescent="0.25">
      <c r="D25" t="str">
        <v>Easiest and fastest process for opening an account or ordering a physical debit card</v>
      </c>
      <c r="E25" s="10">
        <f t="shared" si="1"/>
        <v>0.13333333333333333</v>
      </c>
      <c r="F25" s="10">
        <f t="shared" si="1"/>
        <v>0.29333333333333333</v>
      </c>
      <c r="G25" s="10">
        <f t="shared" si="2"/>
        <v>0.39333333333333331</v>
      </c>
      <c r="H25" s="10">
        <f t="shared" si="2"/>
        <v>0.17333333333333334</v>
      </c>
    </row>
    <row r="26" spans="4:8" x14ac:dyDescent="0.25">
      <c r="D26" t="str">
        <v>Best app for international payments</v>
      </c>
      <c r="E26" s="10">
        <f t="shared" si="1"/>
        <v>0.22</v>
      </c>
      <c r="F26" s="10">
        <f t="shared" si="1"/>
        <v>0.18</v>
      </c>
      <c r="G26" s="10">
        <f t="shared" si="2"/>
        <v>0.32</v>
      </c>
      <c r="H26" s="10">
        <f t="shared" si="2"/>
        <v>0.24666666666666667</v>
      </c>
    </row>
  </sheetData>
  <conditionalFormatting sqref="E7:H14">
    <cfRule type="colorScale" priority="2">
      <colorScale>
        <cfvo type="min"/>
        <cfvo type="percentile" val="50"/>
        <cfvo type="max"/>
        <color rgb="FFF8696B"/>
        <color rgb="FFFFEB84"/>
        <color rgb="FF63BE7B"/>
      </colorScale>
    </cfRule>
  </conditionalFormatting>
  <conditionalFormatting sqref="E19:H2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A7212-A973-48F5-9C7D-30B6B3E19274}">
  <dimension ref="A1:F10"/>
  <sheetViews>
    <sheetView workbookViewId="0">
      <selection activeCell="C7" sqref="C7"/>
    </sheetView>
  </sheetViews>
  <sheetFormatPr defaultRowHeight="12.5" x14ac:dyDescent="0.25"/>
  <sheetData>
    <row r="1" spans="1:6" x14ac:dyDescent="0.25">
      <c r="A1" s="53" t="s">
        <v>778</v>
      </c>
      <c r="C1" s="54" t="s">
        <v>780</v>
      </c>
      <c r="D1" s="54"/>
      <c r="E1" s="54"/>
    </row>
    <row r="2" spans="1:6" x14ac:dyDescent="0.25">
      <c r="A2" s="53"/>
      <c r="C2" s="54"/>
      <c r="D2" s="54"/>
      <c r="E2" s="54"/>
    </row>
    <row r="3" spans="1:6" x14ac:dyDescent="0.25">
      <c r="A3" s="53"/>
      <c r="C3" t="s">
        <v>32</v>
      </c>
      <c r="D3" t="s">
        <v>717</v>
      </c>
      <c r="E3" t="s">
        <v>369</v>
      </c>
      <c r="F3" t="s">
        <v>329</v>
      </c>
    </row>
    <row r="4" spans="1:6" x14ac:dyDescent="0.25">
      <c r="A4" s="53"/>
      <c r="B4" t="s">
        <v>32</v>
      </c>
      <c r="C4" s="23"/>
      <c r="D4">
        <f ca="1">COUNTIFS($I$2:$I$151,$F4,$G$2:$G$151,D$249)</f>
        <v>7</v>
      </c>
      <c r="E4">
        <f t="shared" ref="E4:F4" ca="1" si="0">COUNTIFS($I$2:$I$151,$F4,$G$2:$G$151,E$249)</f>
        <v>7</v>
      </c>
      <c r="F4">
        <f t="shared" ca="1" si="0"/>
        <v>26</v>
      </c>
    </row>
    <row r="5" spans="1:6" x14ac:dyDescent="0.25">
      <c r="A5" s="53"/>
      <c r="B5" t="s">
        <v>717</v>
      </c>
      <c r="C5">
        <f t="shared" ref="C5:F7" ca="1" si="1">COUNTIFS($I$2:$I$151,$F5,$G$2:$G$151,C$249)</f>
        <v>4</v>
      </c>
      <c r="D5" s="23"/>
      <c r="E5">
        <f t="shared" ca="1" si="1"/>
        <v>2</v>
      </c>
      <c r="F5">
        <f t="shared" ca="1" si="1"/>
        <v>3</v>
      </c>
    </row>
    <row r="6" spans="1:6" x14ac:dyDescent="0.25">
      <c r="A6" s="53"/>
      <c r="B6" t="s">
        <v>369</v>
      </c>
      <c r="C6">
        <f t="shared" ca="1" si="1"/>
        <v>4</v>
      </c>
      <c r="D6">
        <f t="shared" ca="1" si="1"/>
        <v>0</v>
      </c>
      <c r="E6" s="23"/>
      <c r="F6">
        <f t="shared" ca="1" si="1"/>
        <v>5</v>
      </c>
    </row>
    <row r="7" spans="1:6" x14ac:dyDescent="0.25">
      <c r="A7" s="53"/>
      <c r="B7" t="s">
        <v>329</v>
      </c>
      <c r="C7">
        <f>COUNTIFS($I$2:$I$151,$F7,$G$2:$G$151,C$249)</f>
        <v>0</v>
      </c>
      <c r="D7">
        <f t="shared" si="1"/>
        <v>0</v>
      </c>
      <c r="E7">
        <f t="shared" si="1"/>
        <v>0</v>
      </c>
      <c r="F7" s="23"/>
    </row>
    <row r="8" spans="1:6" x14ac:dyDescent="0.25">
      <c r="A8" s="53"/>
    </row>
    <row r="9" spans="1:6" x14ac:dyDescent="0.25">
      <c r="A9" s="53"/>
    </row>
    <row r="10" spans="1:6" x14ac:dyDescent="0.25">
      <c r="A10" s="53"/>
    </row>
  </sheetData>
  <mergeCells count="2">
    <mergeCell ref="A1:A10"/>
    <mergeCell ref="C1:E2"/>
  </mergeCells>
  <conditionalFormatting sqref="C4:F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3788-9ED1-4FE4-9181-532AF67E3423}">
  <dimension ref="D6:H28"/>
  <sheetViews>
    <sheetView topLeftCell="A4" zoomScaleNormal="100" workbookViewId="0">
      <selection activeCell="G28" sqref="G28"/>
    </sheetView>
  </sheetViews>
  <sheetFormatPr defaultRowHeight="12.5" x14ac:dyDescent="0.25"/>
  <cols>
    <col min="4" max="4" width="10.08984375" bestFit="1" customWidth="1"/>
  </cols>
  <sheetData>
    <row r="6" spans="4:8" x14ac:dyDescent="0.25">
      <c r="D6" s="6" t="s">
        <v>743</v>
      </c>
      <c r="E6" t="str" cm="1">
        <f t="array" ref="E6:H6">TRANSPOSE(_xlfn.UNIQUE(SINGLE_RESPONSES[FAVORITE]))</f>
        <v>easypaisa</v>
      </c>
      <c r="F6" t="str">
        <v>sadapay</v>
      </c>
      <c r="G6" t="str">
        <v>nayapay</v>
      </c>
      <c r="H6" t="str">
        <v>jazzcash</v>
      </c>
    </row>
    <row r="7" spans="4:8" ht="14" x14ac:dyDescent="0.3">
      <c r="D7" s="16">
        <v>0</v>
      </c>
      <c r="E7">
        <f>COUNTIFS(SINGLE_RESPONSES[FAVORITE],NPS!E$6,SINGLE_RESPONSES[NPS],NPS!$D7)</f>
        <v>0</v>
      </c>
      <c r="F7">
        <f>COUNTIFS(SINGLE_RESPONSES[FAVORITE],NPS!F$6,SINGLE_RESPONSES[NPS],NPS!$D7)</f>
        <v>0</v>
      </c>
      <c r="G7">
        <f>COUNTIFS(SINGLE_RESPONSES[FAVORITE],NPS!G$6,SINGLE_RESPONSES[NPS],NPS!$D7)</f>
        <v>0</v>
      </c>
      <c r="H7">
        <f>COUNTIFS(SINGLE_RESPONSES[FAVORITE],NPS!H$6,SINGLE_RESPONSES[NPS],NPS!$D7)</f>
        <v>0</v>
      </c>
    </row>
    <row r="8" spans="4:8" ht="14" x14ac:dyDescent="0.3">
      <c r="D8" s="16">
        <v>1</v>
      </c>
      <c r="E8">
        <f>COUNTIFS(SINGLE_RESPONSES[FAVORITE],NPS!E$6,SINGLE_RESPONSES[NPS],NPS!$D8)</f>
        <v>1</v>
      </c>
      <c r="F8">
        <f>COUNTIFS(SINGLE_RESPONSES[FAVORITE],NPS!F$6,SINGLE_RESPONSES[NPS],NPS!$D8)</f>
        <v>1</v>
      </c>
      <c r="G8">
        <f>COUNTIFS(SINGLE_RESPONSES[FAVORITE],NPS!G$6,SINGLE_RESPONSES[NPS],NPS!$D8)</f>
        <v>1</v>
      </c>
      <c r="H8">
        <f>COUNTIFS(SINGLE_RESPONSES[FAVORITE],NPS!H$6,SINGLE_RESPONSES[NPS],NPS!$D8)</f>
        <v>5</v>
      </c>
    </row>
    <row r="9" spans="4:8" ht="14" x14ac:dyDescent="0.3">
      <c r="D9" s="16">
        <v>2</v>
      </c>
      <c r="E9">
        <f>COUNTIFS(SINGLE_RESPONSES[FAVORITE],NPS!E$6,SINGLE_RESPONSES[NPS],NPS!$D9)</f>
        <v>0</v>
      </c>
      <c r="F9">
        <f>COUNTIFS(SINGLE_RESPONSES[FAVORITE],NPS!F$6,SINGLE_RESPONSES[NPS],NPS!$D9)</f>
        <v>1</v>
      </c>
      <c r="G9">
        <f>COUNTIFS(SINGLE_RESPONSES[FAVORITE],NPS!G$6,SINGLE_RESPONSES[NPS],NPS!$D9)</f>
        <v>0</v>
      </c>
      <c r="H9">
        <f>COUNTIFS(SINGLE_RESPONSES[FAVORITE],NPS!H$6,SINGLE_RESPONSES[NPS],NPS!$D9)</f>
        <v>1</v>
      </c>
    </row>
    <row r="10" spans="4:8" ht="14" x14ac:dyDescent="0.3">
      <c r="D10" s="16">
        <v>3</v>
      </c>
      <c r="E10">
        <f>COUNTIFS(SINGLE_RESPONSES[FAVORITE],NPS!E$6,SINGLE_RESPONSES[NPS],NPS!$D10)</f>
        <v>2</v>
      </c>
      <c r="F10">
        <f>COUNTIFS(SINGLE_RESPONSES[FAVORITE],NPS!F$6,SINGLE_RESPONSES[NPS],NPS!$D10)</f>
        <v>1</v>
      </c>
      <c r="G10">
        <f>COUNTIFS(SINGLE_RESPONSES[FAVORITE],NPS!G$6,SINGLE_RESPONSES[NPS],NPS!$D10)</f>
        <v>0</v>
      </c>
      <c r="H10">
        <f>COUNTIFS(SINGLE_RESPONSES[FAVORITE],NPS!H$6,SINGLE_RESPONSES[NPS],NPS!$D10)</f>
        <v>2</v>
      </c>
    </row>
    <row r="11" spans="4:8" ht="14" x14ac:dyDescent="0.3">
      <c r="D11" s="16">
        <v>4</v>
      </c>
      <c r="E11">
        <f>COUNTIFS(SINGLE_RESPONSES[FAVORITE],NPS!E$6,SINGLE_RESPONSES[NPS],NPS!$D11)</f>
        <v>1</v>
      </c>
      <c r="F11">
        <f>COUNTIFS(SINGLE_RESPONSES[FAVORITE],NPS!F$6,SINGLE_RESPONSES[NPS],NPS!$D11)</f>
        <v>0</v>
      </c>
      <c r="G11">
        <f>COUNTIFS(SINGLE_RESPONSES[FAVORITE],NPS!G$6,SINGLE_RESPONSES[NPS],NPS!$D11)</f>
        <v>0</v>
      </c>
      <c r="H11">
        <f>COUNTIFS(SINGLE_RESPONSES[FAVORITE],NPS!H$6,SINGLE_RESPONSES[NPS],NPS!$D11)</f>
        <v>3</v>
      </c>
    </row>
    <row r="12" spans="4:8" ht="14" x14ac:dyDescent="0.3">
      <c r="D12" s="16">
        <v>5</v>
      </c>
      <c r="E12">
        <f>COUNTIFS(SINGLE_RESPONSES[FAVORITE],NPS!E$6,SINGLE_RESPONSES[NPS],NPS!$D12)</f>
        <v>0</v>
      </c>
      <c r="F12">
        <f>COUNTIFS(SINGLE_RESPONSES[FAVORITE],NPS!F$6,SINGLE_RESPONSES[NPS],NPS!$D12)</f>
        <v>1</v>
      </c>
      <c r="G12">
        <f>COUNTIFS(SINGLE_RESPONSES[FAVORITE],NPS!G$6,SINGLE_RESPONSES[NPS],NPS!$D12)</f>
        <v>1</v>
      </c>
      <c r="H12">
        <f>COUNTIFS(SINGLE_RESPONSES[FAVORITE],NPS!H$6,SINGLE_RESPONSES[NPS],NPS!$D12)</f>
        <v>5</v>
      </c>
    </row>
    <row r="13" spans="4:8" ht="14" x14ac:dyDescent="0.3">
      <c r="D13" s="17">
        <v>6</v>
      </c>
      <c r="E13">
        <f>COUNTIFS(SINGLE_RESPONSES[FAVORITE],NPS!E$6,SINGLE_RESPONSES[NPS],NPS!$D13)</f>
        <v>1</v>
      </c>
      <c r="F13">
        <f>COUNTIFS(SINGLE_RESPONSES[FAVORITE],NPS!F$6,SINGLE_RESPONSES[NPS],NPS!$D13)</f>
        <v>2</v>
      </c>
      <c r="G13">
        <f>COUNTIFS(SINGLE_RESPONSES[FAVORITE],NPS!G$6,SINGLE_RESPONSES[NPS],NPS!$D13)</f>
        <v>0</v>
      </c>
      <c r="H13">
        <f>COUNTIFS(SINGLE_RESPONSES[FAVORITE],NPS!H$6,SINGLE_RESPONSES[NPS],NPS!$D13)</f>
        <v>3</v>
      </c>
    </row>
    <row r="14" spans="4:8" ht="14" x14ac:dyDescent="0.3">
      <c r="D14" s="17">
        <v>7</v>
      </c>
      <c r="E14">
        <f>COUNTIFS(SINGLE_RESPONSES[FAVORITE],NPS!E$6,SINGLE_RESPONSES[NPS],NPS!$D14)</f>
        <v>6</v>
      </c>
      <c r="F14">
        <f>COUNTIFS(SINGLE_RESPONSES[FAVORITE],NPS!F$6,SINGLE_RESPONSES[NPS],NPS!$D14)</f>
        <v>1</v>
      </c>
      <c r="G14">
        <f>COUNTIFS(SINGLE_RESPONSES[FAVORITE],NPS!G$6,SINGLE_RESPONSES[NPS],NPS!$D14)</f>
        <v>4</v>
      </c>
      <c r="H14">
        <f>COUNTIFS(SINGLE_RESPONSES[FAVORITE],NPS!H$6,SINGLE_RESPONSES[NPS],NPS!$D14)</f>
        <v>7</v>
      </c>
    </row>
    <row r="15" spans="4:8" ht="14" x14ac:dyDescent="0.3">
      <c r="D15" s="18">
        <v>8</v>
      </c>
      <c r="E15">
        <f>COUNTIFS(SINGLE_RESPONSES[FAVORITE],NPS!E$6,SINGLE_RESPONSES[NPS],NPS!$D15)</f>
        <v>12</v>
      </c>
      <c r="F15">
        <f>COUNTIFS(SINGLE_RESPONSES[FAVORITE],NPS!F$6,SINGLE_RESPONSES[NPS],NPS!$D15)</f>
        <v>4</v>
      </c>
      <c r="G15">
        <f>COUNTIFS(SINGLE_RESPONSES[FAVORITE],NPS!G$6,SINGLE_RESPONSES[NPS],NPS!$D15)</f>
        <v>2</v>
      </c>
      <c r="H15">
        <f>COUNTIFS(SINGLE_RESPONSES[FAVORITE],NPS!H$6,SINGLE_RESPONSES[NPS],NPS!$D15)</f>
        <v>14</v>
      </c>
    </row>
    <row r="16" spans="4:8" ht="14" x14ac:dyDescent="0.3">
      <c r="D16" s="18">
        <v>9</v>
      </c>
      <c r="E16">
        <f>COUNTIFS(SINGLE_RESPONSES[FAVORITE],NPS!E$6,SINGLE_RESPONSES[NPS],NPS!$D16)</f>
        <v>9</v>
      </c>
      <c r="F16">
        <f>COUNTIFS(SINGLE_RESPONSES[FAVORITE],NPS!F$6,SINGLE_RESPONSES[NPS],NPS!$D16)</f>
        <v>3</v>
      </c>
      <c r="G16">
        <f>COUNTIFS(SINGLE_RESPONSES[FAVORITE],NPS!G$6,SINGLE_RESPONSES[NPS],NPS!$D16)</f>
        <v>3</v>
      </c>
      <c r="H16">
        <f>COUNTIFS(SINGLE_RESPONSES[FAVORITE],NPS!H$6,SINGLE_RESPONSES[NPS],NPS!$D16)</f>
        <v>6</v>
      </c>
    </row>
    <row r="17" spans="4:8" ht="14" x14ac:dyDescent="0.3">
      <c r="D17" s="18">
        <v>10</v>
      </c>
      <c r="E17">
        <f>COUNTIFS(SINGLE_RESPONSES[FAVORITE],NPS!E$6,SINGLE_RESPONSES[NPS],NPS!$D17)</f>
        <v>11</v>
      </c>
      <c r="F17">
        <f>COUNTIFS(SINGLE_RESPONSES[FAVORITE],NPS!F$6,SINGLE_RESPONSES[NPS],NPS!$D17)</f>
        <v>4</v>
      </c>
      <c r="G17">
        <f>COUNTIFS(SINGLE_RESPONSES[FAVORITE],NPS!G$6,SINGLE_RESPONSES[NPS],NPS!$D17)</f>
        <v>13</v>
      </c>
      <c r="H17">
        <f>COUNTIFS(SINGLE_RESPONSES[FAVORITE],NPS!H$6,SINGLE_RESPONSES[NPS],NPS!$D17)</f>
        <v>19</v>
      </c>
    </row>
    <row r="18" spans="4:8" x14ac:dyDescent="0.25">
      <c r="E18">
        <f t="shared" ref="E18:G18" si="0">SUM(E7:E17)</f>
        <v>43</v>
      </c>
      <c r="F18">
        <f t="shared" si="0"/>
        <v>18</v>
      </c>
      <c r="G18">
        <f t="shared" si="0"/>
        <v>24</v>
      </c>
      <c r="H18">
        <f>SUM(H7:H17)</f>
        <v>65</v>
      </c>
    </row>
    <row r="21" spans="4:8" ht="14" x14ac:dyDescent="0.3">
      <c r="D21" s="19" t="s">
        <v>762</v>
      </c>
      <c r="E21">
        <f>SUM(E7:E12)</f>
        <v>4</v>
      </c>
      <c r="F21">
        <f>SUM(F7:F12)</f>
        <v>4</v>
      </c>
      <c r="G21">
        <f>SUM(G7:G12)</f>
        <v>2</v>
      </c>
      <c r="H21">
        <f>SUM(H7:H12)</f>
        <v>16</v>
      </c>
    </row>
    <row r="22" spans="4:8" ht="14" x14ac:dyDescent="0.3">
      <c r="D22" s="20" t="s">
        <v>763</v>
      </c>
      <c r="E22">
        <f>E13+E14</f>
        <v>7</v>
      </c>
      <c r="F22">
        <f>F13+F14</f>
        <v>3</v>
      </c>
      <c r="G22">
        <f>G13+G14</f>
        <v>4</v>
      </c>
      <c r="H22">
        <f>H13+H14</f>
        <v>10</v>
      </c>
    </row>
    <row r="23" spans="4:8" ht="14" x14ac:dyDescent="0.3">
      <c r="D23" s="21" t="s">
        <v>764</v>
      </c>
      <c r="E23">
        <f>SUM(E15:E17)</f>
        <v>32</v>
      </c>
      <c r="F23">
        <f>SUM(F15:F17)</f>
        <v>11</v>
      </c>
      <c r="G23">
        <f>SUM(G15:G17)</f>
        <v>18</v>
      </c>
      <c r="H23">
        <f>SUM(H15:H17)</f>
        <v>39</v>
      </c>
    </row>
    <row r="27" spans="4:8" x14ac:dyDescent="0.25">
      <c r="D27" t="s">
        <v>743</v>
      </c>
      <c r="E27">
        <f>E23-E21</f>
        <v>28</v>
      </c>
      <c r="F27">
        <f>F23-F21</f>
        <v>7</v>
      </c>
      <c r="G27">
        <f>G23-G21</f>
        <v>16</v>
      </c>
      <c r="H27">
        <f>H23-H21</f>
        <v>23</v>
      </c>
    </row>
    <row r="28" spans="4:8" x14ac:dyDescent="0.25">
      <c r="E28" s="10">
        <f>E27/150</f>
        <v>0.18666666666666668</v>
      </c>
      <c r="F28" s="10">
        <f t="shared" ref="F28:H28" si="1">F27/150</f>
        <v>4.6666666666666669E-2</v>
      </c>
      <c r="G28" s="10">
        <f t="shared" si="1"/>
        <v>0.10666666666666667</v>
      </c>
      <c r="H28" s="10">
        <f t="shared" si="1"/>
        <v>0.15333333333333332</v>
      </c>
    </row>
  </sheetData>
  <conditionalFormatting sqref="E7:H17">
    <cfRule type="colorScale" priority="2">
      <colorScale>
        <cfvo type="min"/>
        <cfvo type="percentile" val="50"/>
        <cfvo type="max"/>
        <color rgb="FFF8696B"/>
        <color rgb="FFFFEB84"/>
        <color rgb="FF63BE7B"/>
      </colorScale>
    </cfRule>
  </conditionalFormatting>
  <conditionalFormatting sqref="E27:H2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5CA3-CCD2-45D3-89D3-8AA9744C8450}">
  <dimension ref="A3:H16"/>
  <sheetViews>
    <sheetView workbookViewId="0">
      <selection activeCell="K21" sqref="K21"/>
    </sheetView>
  </sheetViews>
  <sheetFormatPr defaultRowHeight="14" x14ac:dyDescent="0.3"/>
  <cols>
    <col min="1" max="1" width="19.7265625" style="31" bestFit="1" customWidth="1"/>
    <col min="2" max="2" width="15.6328125" style="31" bestFit="1" customWidth="1"/>
    <col min="3" max="3" width="9.1796875" style="31" bestFit="1" customWidth="1"/>
    <col min="4" max="4" width="8" style="31" bestFit="1" customWidth="1"/>
    <col min="5" max="5" width="7.81640625" style="31" bestFit="1" customWidth="1"/>
    <col min="6" max="6" width="5" style="31" bestFit="1" customWidth="1"/>
    <col min="7" max="7" width="7.81640625" style="31" bestFit="1" customWidth="1"/>
    <col min="8" max="8" width="10.36328125" style="31" bestFit="1" customWidth="1"/>
    <col min="9" max="16384" width="8.7265625" style="31"/>
  </cols>
  <sheetData>
    <row r="3" spans="1:8" x14ac:dyDescent="0.3">
      <c r="A3" s="31" t="s">
        <v>816</v>
      </c>
      <c r="B3" s="31" t="s">
        <v>817</v>
      </c>
    </row>
    <row r="4" spans="1:8" x14ac:dyDescent="0.3">
      <c r="A4" s="31" t="s">
        <v>818</v>
      </c>
      <c r="B4" s="31" t="s">
        <v>819</v>
      </c>
      <c r="C4" s="31" t="s">
        <v>32</v>
      </c>
      <c r="D4" s="31" t="s">
        <v>329</v>
      </c>
      <c r="E4" s="31" t="s">
        <v>369</v>
      </c>
      <c r="F4" s="31" t="s">
        <v>749</v>
      </c>
      <c r="G4" s="31" t="s">
        <v>717</v>
      </c>
      <c r="H4" s="31" t="s">
        <v>820</v>
      </c>
    </row>
    <row r="5" spans="1:8" x14ac:dyDescent="0.3">
      <c r="A5" s="33" t="s">
        <v>32</v>
      </c>
      <c r="B5" s="31">
        <v>4</v>
      </c>
      <c r="C5" s="31">
        <v>6</v>
      </c>
      <c r="D5" s="31">
        <v>15</v>
      </c>
      <c r="E5" s="31">
        <v>7</v>
      </c>
      <c r="G5" s="31">
        <v>11</v>
      </c>
      <c r="H5" s="31">
        <v>43</v>
      </c>
    </row>
    <row r="6" spans="1:8" x14ac:dyDescent="0.3">
      <c r="A6" s="33" t="s">
        <v>329</v>
      </c>
      <c r="B6" s="31">
        <v>11</v>
      </c>
      <c r="C6" s="31">
        <v>27</v>
      </c>
      <c r="D6" s="34">
        <v>8</v>
      </c>
      <c r="E6" s="31">
        <v>13</v>
      </c>
      <c r="F6" s="31">
        <v>1</v>
      </c>
      <c r="G6" s="31">
        <v>5</v>
      </c>
      <c r="H6" s="31">
        <v>65</v>
      </c>
    </row>
    <row r="7" spans="1:8" x14ac:dyDescent="0.3">
      <c r="A7" s="33" t="s">
        <v>369</v>
      </c>
      <c r="B7" s="31">
        <v>6</v>
      </c>
      <c r="C7" s="31">
        <v>6</v>
      </c>
      <c r="D7" s="31">
        <v>7</v>
      </c>
      <c r="E7" s="31">
        <v>3</v>
      </c>
      <c r="G7" s="31">
        <v>2</v>
      </c>
      <c r="H7" s="31">
        <v>24</v>
      </c>
    </row>
    <row r="8" spans="1:8" x14ac:dyDescent="0.3">
      <c r="A8" s="33" t="s">
        <v>717</v>
      </c>
      <c r="B8" s="31">
        <v>3</v>
      </c>
      <c r="C8" s="31">
        <v>4</v>
      </c>
      <c r="D8" s="31">
        <v>7</v>
      </c>
      <c r="E8" s="31">
        <v>3</v>
      </c>
      <c r="F8" s="31">
        <v>1</v>
      </c>
      <c r="H8" s="31">
        <v>18</v>
      </c>
    </row>
    <row r="9" spans="1:8" x14ac:dyDescent="0.3">
      <c r="A9" s="33" t="s">
        <v>820</v>
      </c>
      <c r="B9" s="31">
        <v>24</v>
      </c>
      <c r="C9" s="31">
        <v>43</v>
      </c>
      <c r="D9" s="31">
        <v>37</v>
      </c>
      <c r="E9" s="31">
        <v>26</v>
      </c>
      <c r="F9" s="31">
        <v>2</v>
      </c>
      <c r="G9" s="31">
        <v>18</v>
      </c>
      <c r="H9" s="31">
        <v>150</v>
      </c>
    </row>
    <row r="10" spans="1:8" x14ac:dyDescent="0.3">
      <c r="B10" s="55" t="s">
        <v>744</v>
      </c>
      <c r="C10" s="55"/>
      <c r="D10" s="55"/>
      <c r="E10" s="55"/>
      <c r="F10" s="55"/>
      <c r="G10" s="55"/>
    </row>
    <row r="11" spans="1:8" x14ac:dyDescent="0.3">
      <c r="A11" s="35" t="s">
        <v>780</v>
      </c>
      <c r="B11" s="36" t="s">
        <v>819</v>
      </c>
      <c r="C11" s="36" t="s">
        <v>32</v>
      </c>
      <c r="D11" s="36" t="s">
        <v>329</v>
      </c>
      <c r="E11" s="36" t="s">
        <v>369</v>
      </c>
      <c r="F11" s="36" t="s">
        <v>749</v>
      </c>
      <c r="G11" s="36" t="s">
        <v>717</v>
      </c>
    </row>
    <row r="12" spans="1:8" x14ac:dyDescent="0.3">
      <c r="A12" s="33" t="s">
        <v>32</v>
      </c>
      <c r="B12" s="31">
        <v>4</v>
      </c>
      <c r="C12" s="37"/>
      <c r="D12" s="31">
        <v>15</v>
      </c>
      <c r="E12" s="31">
        <v>7</v>
      </c>
      <c r="F12" s="31">
        <v>0</v>
      </c>
      <c r="G12" s="31">
        <v>11</v>
      </c>
    </row>
    <row r="13" spans="1:8" x14ac:dyDescent="0.3">
      <c r="A13" s="33" t="s">
        <v>329</v>
      </c>
      <c r="B13" s="31">
        <v>11</v>
      </c>
      <c r="C13" s="31">
        <v>27</v>
      </c>
      <c r="D13" s="37"/>
      <c r="E13" s="31">
        <v>13</v>
      </c>
      <c r="F13" s="31">
        <v>1</v>
      </c>
      <c r="G13" s="31">
        <v>5</v>
      </c>
    </row>
    <row r="14" spans="1:8" x14ac:dyDescent="0.3">
      <c r="A14" s="33" t="s">
        <v>369</v>
      </c>
      <c r="B14" s="31">
        <v>6</v>
      </c>
      <c r="C14" s="31">
        <v>6</v>
      </c>
      <c r="D14" s="31">
        <v>7</v>
      </c>
      <c r="E14" s="37"/>
      <c r="G14" s="31">
        <v>2</v>
      </c>
    </row>
    <row r="15" spans="1:8" x14ac:dyDescent="0.3">
      <c r="A15" s="33" t="s">
        <v>717</v>
      </c>
      <c r="B15" s="31">
        <v>3</v>
      </c>
      <c r="C15" s="31">
        <v>4</v>
      </c>
      <c r="D15" s="31">
        <v>7</v>
      </c>
      <c r="E15" s="31">
        <v>3</v>
      </c>
      <c r="F15" s="31">
        <v>1</v>
      </c>
      <c r="G15" s="37"/>
    </row>
    <row r="16" spans="1:8" x14ac:dyDescent="0.3">
      <c r="A16" s="38" t="s">
        <v>821</v>
      </c>
      <c r="B16" s="39">
        <v>24</v>
      </c>
      <c r="C16" s="39">
        <v>43</v>
      </c>
      <c r="D16" s="39">
        <v>30</v>
      </c>
      <c r="E16" s="39">
        <v>23</v>
      </c>
      <c r="F16" s="39">
        <v>2</v>
      </c>
      <c r="G16" s="39">
        <v>16</v>
      </c>
    </row>
  </sheetData>
  <mergeCells count="1">
    <mergeCell ref="B10:G10"/>
  </mergeCells>
  <conditionalFormatting sqref="B12:G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C9A7-5751-44DD-AB85-24A03040DFF1}">
  <dimension ref="A1:B255"/>
  <sheetViews>
    <sheetView workbookViewId="0">
      <selection activeCell="C19" sqref="C19"/>
    </sheetView>
  </sheetViews>
  <sheetFormatPr defaultRowHeight="12.5" x14ac:dyDescent="0.25"/>
  <cols>
    <col min="1" max="1" width="7.7265625" bestFit="1" customWidth="1"/>
    <col min="2" max="2" width="8.90625" bestFit="1" customWidth="1"/>
    <col min="3" max="3" width="24.36328125" bestFit="1" customWidth="1"/>
    <col min="4" max="4" width="8.90625" bestFit="1" customWidth="1"/>
  </cols>
  <sheetData>
    <row r="1" spans="1:2" x14ac:dyDescent="0.25">
      <c r="A1" t="s">
        <v>755</v>
      </c>
      <c r="B1" t="s">
        <v>756</v>
      </c>
    </row>
    <row r="2" spans="1:2" x14ac:dyDescent="0.25">
      <c r="A2">
        <v>1</v>
      </c>
      <c r="B2" t="s">
        <v>32</v>
      </c>
    </row>
    <row r="3" spans="1:2" x14ac:dyDescent="0.25">
      <c r="A3">
        <v>2</v>
      </c>
      <c r="B3" t="s">
        <v>32</v>
      </c>
    </row>
    <row r="4" spans="1:2" x14ac:dyDescent="0.25">
      <c r="A4">
        <v>3</v>
      </c>
      <c r="B4" t="s">
        <v>717</v>
      </c>
    </row>
    <row r="5" spans="1:2" x14ac:dyDescent="0.25">
      <c r="A5">
        <v>4</v>
      </c>
      <c r="B5" t="s">
        <v>32</v>
      </c>
    </row>
    <row r="6" spans="1:2" x14ac:dyDescent="0.25">
      <c r="A6">
        <v>5</v>
      </c>
      <c r="B6" t="s">
        <v>32</v>
      </c>
    </row>
    <row r="7" spans="1:2" x14ac:dyDescent="0.25">
      <c r="A7">
        <v>6</v>
      </c>
      <c r="B7" t="s">
        <v>32</v>
      </c>
    </row>
    <row r="8" spans="1:2" x14ac:dyDescent="0.25">
      <c r="A8">
        <v>7</v>
      </c>
      <c r="B8" t="s">
        <v>329</v>
      </c>
    </row>
    <row r="9" spans="1:2" x14ac:dyDescent="0.25">
      <c r="A9">
        <v>8</v>
      </c>
      <c r="B9" t="s">
        <v>32</v>
      </c>
    </row>
    <row r="10" spans="1:2" x14ac:dyDescent="0.25">
      <c r="A10">
        <v>9</v>
      </c>
      <c r="B10" t="s">
        <v>329</v>
      </c>
    </row>
    <row r="11" spans="1:2" x14ac:dyDescent="0.25">
      <c r="A11">
        <v>10</v>
      </c>
      <c r="B11" t="s">
        <v>369</v>
      </c>
    </row>
    <row r="12" spans="1:2" x14ac:dyDescent="0.25">
      <c r="A12">
        <v>11</v>
      </c>
      <c r="B12" t="s">
        <v>329</v>
      </c>
    </row>
    <row r="13" spans="1:2" x14ac:dyDescent="0.25">
      <c r="A13">
        <v>12</v>
      </c>
      <c r="B13" t="s">
        <v>329</v>
      </c>
    </row>
    <row r="14" spans="1:2" x14ac:dyDescent="0.25">
      <c r="A14">
        <v>13</v>
      </c>
      <c r="B14" t="s">
        <v>32</v>
      </c>
    </row>
    <row r="15" spans="1:2" x14ac:dyDescent="0.25">
      <c r="A15">
        <v>14</v>
      </c>
      <c r="B15" t="s">
        <v>717</v>
      </c>
    </row>
    <row r="16" spans="1:2" x14ac:dyDescent="0.25">
      <c r="A16">
        <v>15</v>
      </c>
      <c r="B16" t="s">
        <v>329</v>
      </c>
    </row>
    <row r="17" spans="1:2" x14ac:dyDescent="0.25">
      <c r="A17">
        <v>16</v>
      </c>
      <c r="B17" t="s">
        <v>369</v>
      </c>
    </row>
    <row r="18" spans="1:2" x14ac:dyDescent="0.25">
      <c r="A18">
        <v>17</v>
      </c>
      <c r="B18" t="s">
        <v>32</v>
      </c>
    </row>
    <row r="19" spans="1:2" x14ac:dyDescent="0.25">
      <c r="A19">
        <v>18</v>
      </c>
      <c r="B19" t="s">
        <v>32</v>
      </c>
    </row>
    <row r="20" spans="1:2" x14ac:dyDescent="0.25">
      <c r="A20">
        <v>19</v>
      </c>
      <c r="B20" t="s">
        <v>369</v>
      </c>
    </row>
    <row r="21" spans="1:2" x14ac:dyDescent="0.25">
      <c r="A21">
        <v>20</v>
      </c>
      <c r="B21" t="s">
        <v>32</v>
      </c>
    </row>
    <row r="22" spans="1:2" x14ac:dyDescent="0.25">
      <c r="A22">
        <v>21</v>
      </c>
      <c r="B22" t="s">
        <v>329</v>
      </c>
    </row>
    <row r="23" spans="1:2" x14ac:dyDescent="0.25">
      <c r="A23">
        <v>22</v>
      </c>
      <c r="B23" t="s">
        <v>32</v>
      </c>
    </row>
    <row r="24" spans="1:2" x14ac:dyDescent="0.25">
      <c r="A24">
        <v>23</v>
      </c>
      <c r="B24" t="s">
        <v>329</v>
      </c>
    </row>
    <row r="25" spans="1:2" x14ac:dyDescent="0.25">
      <c r="A25">
        <v>24</v>
      </c>
      <c r="B25" t="s">
        <v>32</v>
      </c>
    </row>
    <row r="26" spans="1:2" x14ac:dyDescent="0.25">
      <c r="A26">
        <v>25</v>
      </c>
      <c r="B26" t="s">
        <v>717</v>
      </c>
    </row>
    <row r="27" spans="1:2" x14ac:dyDescent="0.25">
      <c r="A27">
        <v>26</v>
      </c>
      <c r="B27" t="s">
        <v>329</v>
      </c>
    </row>
    <row r="28" spans="1:2" x14ac:dyDescent="0.25">
      <c r="A28">
        <v>27</v>
      </c>
      <c r="B28" t="s">
        <v>32</v>
      </c>
    </row>
    <row r="29" spans="1:2" x14ac:dyDescent="0.25">
      <c r="A29">
        <v>28</v>
      </c>
      <c r="B29" t="s">
        <v>369</v>
      </c>
    </row>
    <row r="30" spans="1:2" x14ac:dyDescent="0.25">
      <c r="A30">
        <v>29</v>
      </c>
      <c r="B30" t="s">
        <v>32</v>
      </c>
    </row>
    <row r="31" spans="1:2" x14ac:dyDescent="0.25">
      <c r="A31">
        <v>30</v>
      </c>
      <c r="B31" t="s">
        <v>329</v>
      </c>
    </row>
    <row r="32" spans="1:2" x14ac:dyDescent="0.25">
      <c r="A32">
        <v>31</v>
      </c>
      <c r="B32" t="s">
        <v>32</v>
      </c>
    </row>
    <row r="33" spans="1:2" x14ac:dyDescent="0.25">
      <c r="A33">
        <v>32</v>
      </c>
      <c r="B33" t="s">
        <v>717</v>
      </c>
    </row>
    <row r="34" spans="1:2" x14ac:dyDescent="0.25">
      <c r="A34">
        <v>33</v>
      </c>
      <c r="B34" t="s">
        <v>369</v>
      </c>
    </row>
    <row r="35" spans="1:2" x14ac:dyDescent="0.25">
      <c r="A35">
        <v>34</v>
      </c>
      <c r="B35" t="s">
        <v>329</v>
      </c>
    </row>
    <row r="36" spans="1:2" x14ac:dyDescent="0.25">
      <c r="A36">
        <v>35</v>
      </c>
      <c r="B36" t="s">
        <v>329</v>
      </c>
    </row>
    <row r="37" spans="1:2" x14ac:dyDescent="0.25">
      <c r="A37">
        <v>36</v>
      </c>
      <c r="B37" t="s">
        <v>717</v>
      </c>
    </row>
    <row r="38" spans="1:2" x14ac:dyDescent="0.25">
      <c r="A38">
        <v>37</v>
      </c>
      <c r="B38" t="s">
        <v>369</v>
      </c>
    </row>
    <row r="39" spans="1:2" x14ac:dyDescent="0.25">
      <c r="A39">
        <v>38</v>
      </c>
      <c r="B39" t="s">
        <v>329</v>
      </c>
    </row>
    <row r="40" spans="1:2" x14ac:dyDescent="0.25">
      <c r="A40">
        <v>39</v>
      </c>
      <c r="B40" t="s">
        <v>329</v>
      </c>
    </row>
    <row r="41" spans="1:2" x14ac:dyDescent="0.25">
      <c r="A41">
        <v>40</v>
      </c>
      <c r="B41" t="s">
        <v>369</v>
      </c>
    </row>
    <row r="42" spans="1:2" x14ac:dyDescent="0.25">
      <c r="A42">
        <v>41</v>
      </c>
      <c r="B42" t="s">
        <v>32</v>
      </c>
    </row>
    <row r="43" spans="1:2" x14ac:dyDescent="0.25">
      <c r="A43">
        <v>42</v>
      </c>
      <c r="B43" t="s">
        <v>329</v>
      </c>
    </row>
    <row r="44" spans="1:2" x14ac:dyDescent="0.25">
      <c r="A44">
        <v>43</v>
      </c>
      <c r="B44" t="s">
        <v>329</v>
      </c>
    </row>
    <row r="45" spans="1:2" x14ac:dyDescent="0.25">
      <c r="A45">
        <v>44</v>
      </c>
      <c r="B45" t="s">
        <v>32</v>
      </c>
    </row>
    <row r="46" spans="1:2" x14ac:dyDescent="0.25">
      <c r="A46">
        <v>45</v>
      </c>
      <c r="B46" t="s">
        <v>32</v>
      </c>
    </row>
    <row r="47" spans="1:2" x14ac:dyDescent="0.25">
      <c r="A47">
        <v>46</v>
      </c>
      <c r="B47" t="s">
        <v>329</v>
      </c>
    </row>
    <row r="48" spans="1:2" x14ac:dyDescent="0.25">
      <c r="A48">
        <v>47</v>
      </c>
      <c r="B48" t="s">
        <v>717</v>
      </c>
    </row>
    <row r="49" spans="1:2" x14ac:dyDescent="0.25">
      <c r="A49">
        <v>48</v>
      </c>
      <c r="B49" t="s">
        <v>329</v>
      </c>
    </row>
    <row r="50" spans="1:2" x14ac:dyDescent="0.25">
      <c r="A50">
        <v>49</v>
      </c>
      <c r="B50" t="s">
        <v>717</v>
      </c>
    </row>
    <row r="51" spans="1:2" x14ac:dyDescent="0.25">
      <c r="A51">
        <v>50</v>
      </c>
      <c r="B51" t="s">
        <v>717</v>
      </c>
    </row>
    <row r="52" spans="1:2" x14ac:dyDescent="0.25">
      <c r="A52">
        <v>51</v>
      </c>
      <c r="B52" t="s">
        <v>329</v>
      </c>
    </row>
    <row r="53" spans="1:2" x14ac:dyDescent="0.25">
      <c r="A53">
        <v>52</v>
      </c>
      <c r="B53" t="s">
        <v>329</v>
      </c>
    </row>
    <row r="54" spans="1:2" x14ac:dyDescent="0.25">
      <c r="A54">
        <v>53</v>
      </c>
      <c r="B54" t="s">
        <v>32</v>
      </c>
    </row>
    <row r="55" spans="1:2" x14ac:dyDescent="0.25">
      <c r="A55">
        <v>54</v>
      </c>
      <c r="B55" t="s">
        <v>329</v>
      </c>
    </row>
    <row r="56" spans="1:2" x14ac:dyDescent="0.25">
      <c r="A56">
        <v>55</v>
      </c>
      <c r="B56" t="s">
        <v>369</v>
      </c>
    </row>
    <row r="57" spans="1:2" x14ac:dyDescent="0.25">
      <c r="A57">
        <v>56</v>
      </c>
      <c r="B57" t="s">
        <v>329</v>
      </c>
    </row>
    <row r="58" spans="1:2" x14ac:dyDescent="0.25">
      <c r="A58">
        <v>57</v>
      </c>
      <c r="B58" t="s">
        <v>329</v>
      </c>
    </row>
    <row r="59" spans="1:2" x14ac:dyDescent="0.25">
      <c r="A59">
        <v>58</v>
      </c>
      <c r="B59" t="s">
        <v>32</v>
      </c>
    </row>
    <row r="60" spans="1:2" x14ac:dyDescent="0.25">
      <c r="A60">
        <v>59</v>
      </c>
      <c r="B60" t="s">
        <v>329</v>
      </c>
    </row>
    <row r="61" spans="1:2" x14ac:dyDescent="0.25">
      <c r="A61">
        <v>60</v>
      </c>
      <c r="B61" t="s">
        <v>369</v>
      </c>
    </row>
    <row r="62" spans="1:2" x14ac:dyDescent="0.25">
      <c r="A62">
        <v>61</v>
      </c>
      <c r="B62" t="s">
        <v>369</v>
      </c>
    </row>
    <row r="63" spans="1:2" x14ac:dyDescent="0.25">
      <c r="A63">
        <v>62</v>
      </c>
      <c r="B63" t="s">
        <v>32</v>
      </c>
    </row>
    <row r="64" spans="1:2" x14ac:dyDescent="0.25">
      <c r="A64">
        <v>63</v>
      </c>
      <c r="B64" t="s">
        <v>329</v>
      </c>
    </row>
    <row r="65" spans="1:2" x14ac:dyDescent="0.25">
      <c r="A65">
        <v>64</v>
      </c>
      <c r="B65" t="s">
        <v>329</v>
      </c>
    </row>
    <row r="66" spans="1:2" x14ac:dyDescent="0.25">
      <c r="A66">
        <v>65</v>
      </c>
      <c r="B66" t="s">
        <v>32</v>
      </c>
    </row>
    <row r="67" spans="1:2" x14ac:dyDescent="0.25">
      <c r="A67">
        <v>66</v>
      </c>
      <c r="B67" t="s">
        <v>717</v>
      </c>
    </row>
    <row r="68" spans="1:2" x14ac:dyDescent="0.25">
      <c r="A68">
        <v>67</v>
      </c>
      <c r="B68" t="s">
        <v>369</v>
      </c>
    </row>
    <row r="69" spans="1:2" x14ac:dyDescent="0.25">
      <c r="A69">
        <v>68</v>
      </c>
      <c r="B69" t="s">
        <v>329</v>
      </c>
    </row>
    <row r="70" spans="1:2" x14ac:dyDescent="0.25">
      <c r="A70">
        <v>69</v>
      </c>
      <c r="B70" t="s">
        <v>329</v>
      </c>
    </row>
    <row r="71" spans="1:2" x14ac:dyDescent="0.25">
      <c r="A71">
        <v>70</v>
      </c>
      <c r="B71" t="s">
        <v>32</v>
      </c>
    </row>
    <row r="72" spans="1:2" x14ac:dyDescent="0.25">
      <c r="A72">
        <v>71</v>
      </c>
      <c r="B72" t="s">
        <v>329</v>
      </c>
    </row>
    <row r="73" spans="1:2" x14ac:dyDescent="0.25">
      <c r="A73">
        <v>72</v>
      </c>
      <c r="B73" t="s">
        <v>32</v>
      </c>
    </row>
    <row r="74" spans="1:2" x14ac:dyDescent="0.25">
      <c r="A74">
        <v>73</v>
      </c>
      <c r="B74" t="s">
        <v>329</v>
      </c>
    </row>
    <row r="75" spans="1:2" x14ac:dyDescent="0.25">
      <c r="A75">
        <v>74</v>
      </c>
      <c r="B75" t="s">
        <v>32</v>
      </c>
    </row>
    <row r="76" spans="1:2" x14ac:dyDescent="0.25">
      <c r="A76">
        <v>75</v>
      </c>
      <c r="B76" t="s">
        <v>329</v>
      </c>
    </row>
    <row r="77" spans="1:2" x14ac:dyDescent="0.25">
      <c r="A77">
        <v>76</v>
      </c>
      <c r="B77" t="s">
        <v>32</v>
      </c>
    </row>
    <row r="78" spans="1:2" x14ac:dyDescent="0.25">
      <c r="A78">
        <v>77</v>
      </c>
      <c r="B78" t="s">
        <v>329</v>
      </c>
    </row>
    <row r="79" spans="1:2" x14ac:dyDescent="0.25">
      <c r="A79">
        <v>78</v>
      </c>
      <c r="B79" t="s">
        <v>32</v>
      </c>
    </row>
    <row r="80" spans="1:2" x14ac:dyDescent="0.25">
      <c r="A80">
        <v>79</v>
      </c>
      <c r="B80" t="s">
        <v>32</v>
      </c>
    </row>
    <row r="81" spans="1:2" x14ac:dyDescent="0.25">
      <c r="A81">
        <v>80</v>
      </c>
      <c r="B81" t="s">
        <v>717</v>
      </c>
    </row>
    <row r="82" spans="1:2" x14ac:dyDescent="0.25">
      <c r="A82">
        <v>81</v>
      </c>
      <c r="B82" t="s">
        <v>717</v>
      </c>
    </row>
    <row r="83" spans="1:2" x14ac:dyDescent="0.25">
      <c r="A83">
        <v>82</v>
      </c>
      <c r="B83" t="s">
        <v>329</v>
      </c>
    </row>
    <row r="84" spans="1:2" x14ac:dyDescent="0.25">
      <c r="A84">
        <v>83</v>
      </c>
      <c r="B84" t="s">
        <v>717</v>
      </c>
    </row>
    <row r="85" spans="1:2" x14ac:dyDescent="0.25">
      <c r="A85">
        <v>84</v>
      </c>
      <c r="B85" t="s">
        <v>32</v>
      </c>
    </row>
    <row r="86" spans="1:2" x14ac:dyDescent="0.25">
      <c r="A86">
        <v>85</v>
      </c>
      <c r="B86" t="s">
        <v>717</v>
      </c>
    </row>
    <row r="87" spans="1:2" x14ac:dyDescent="0.25">
      <c r="A87">
        <v>86</v>
      </c>
      <c r="B87" t="s">
        <v>329</v>
      </c>
    </row>
    <row r="88" spans="1:2" x14ac:dyDescent="0.25">
      <c r="A88">
        <v>87</v>
      </c>
      <c r="B88" t="s">
        <v>717</v>
      </c>
    </row>
    <row r="89" spans="1:2" x14ac:dyDescent="0.25">
      <c r="A89">
        <v>88</v>
      </c>
      <c r="B89" t="s">
        <v>717</v>
      </c>
    </row>
    <row r="90" spans="1:2" x14ac:dyDescent="0.25">
      <c r="A90">
        <v>89</v>
      </c>
      <c r="B90" t="s">
        <v>369</v>
      </c>
    </row>
    <row r="91" spans="1:2" x14ac:dyDescent="0.25">
      <c r="A91">
        <v>90</v>
      </c>
      <c r="B91" t="s">
        <v>329</v>
      </c>
    </row>
    <row r="92" spans="1:2" x14ac:dyDescent="0.25">
      <c r="A92">
        <v>91</v>
      </c>
      <c r="B92" t="s">
        <v>32</v>
      </c>
    </row>
    <row r="93" spans="1:2" x14ac:dyDescent="0.25">
      <c r="A93">
        <v>92</v>
      </c>
      <c r="B93" t="s">
        <v>329</v>
      </c>
    </row>
    <row r="94" spans="1:2" x14ac:dyDescent="0.25">
      <c r="A94">
        <v>93</v>
      </c>
      <c r="B94" t="s">
        <v>32</v>
      </c>
    </row>
    <row r="95" spans="1:2" x14ac:dyDescent="0.25">
      <c r="A95">
        <v>94</v>
      </c>
      <c r="B95" t="s">
        <v>329</v>
      </c>
    </row>
    <row r="96" spans="1:2" x14ac:dyDescent="0.25">
      <c r="A96">
        <v>95</v>
      </c>
      <c r="B96" t="s">
        <v>32</v>
      </c>
    </row>
    <row r="97" spans="1:2" x14ac:dyDescent="0.25">
      <c r="A97">
        <v>96</v>
      </c>
      <c r="B97" t="s">
        <v>369</v>
      </c>
    </row>
    <row r="98" spans="1:2" x14ac:dyDescent="0.25">
      <c r="A98">
        <v>97</v>
      </c>
      <c r="B98" t="s">
        <v>32</v>
      </c>
    </row>
    <row r="99" spans="1:2" x14ac:dyDescent="0.25">
      <c r="A99">
        <v>98</v>
      </c>
      <c r="B99" t="s">
        <v>32</v>
      </c>
    </row>
    <row r="100" spans="1:2" x14ac:dyDescent="0.25">
      <c r="A100">
        <v>99</v>
      </c>
      <c r="B100" t="s">
        <v>329</v>
      </c>
    </row>
    <row r="101" spans="1:2" x14ac:dyDescent="0.25">
      <c r="A101">
        <v>100</v>
      </c>
      <c r="B101" t="s">
        <v>329</v>
      </c>
    </row>
    <row r="102" spans="1:2" x14ac:dyDescent="0.25">
      <c r="A102">
        <v>101</v>
      </c>
      <c r="B102" t="s">
        <v>329</v>
      </c>
    </row>
    <row r="103" spans="1:2" x14ac:dyDescent="0.25">
      <c r="A103">
        <v>102</v>
      </c>
      <c r="B103" t="s">
        <v>32</v>
      </c>
    </row>
    <row r="104" spans="1:2" x14ac:dyDescent="0.25">
      <c r="A104">
        <v>103</v>
      </c>
      <c r="B104" t="s">
        <v>329</v>
      </c>
    </row>
    <row r="105" spans="1:2" x14ac:dyDescent="0.25">
      <c r="A105">
        <v>104</v>
      </c>
      <c r="B105" t="s">
        <v>32</v>
      </c>
    </row>
    <row r="106" spans="1:2" x14ac:dyDescent="0.25">
      <c r="A106">
        <v>105</v>
      </c>
      <c r="B106" t="s">
        <v>32</v>
      </c>
    </row>
    <row r="107" spans="1:2" x14ac:dyDescent="0.25">
      <c r="A107">
        <v>106</v>
      </c>
      <c r="B107" t="s">
        <v>32</v>
      </c>
    </row>
    <row r="108" spans="1:2" x14ac:dyDescent="0.25">
      <c r="A108">
        <v>107</v>
      </c>
      <c r="B108" t="s">
        <v>32</v>
      </c>
    </row>
    <row r="109" spans="1:2" x14ac:dyDescent="0.25">
      <c r="A109">
        <v>108</v>
      </c>
      <c r="B109" t="s">
        <v>329</v>
      </c>
    </row>
    <row r="110" spans="1:2" x14ac:dyDescent="0.25">
      <c r="A110">
        <v>109</v>
      </c>
      <c r="B110" t="s">
        <v>32</v>
      </c>
    </row>
    <row r="111" spans="1:2" x14ac:dyDescent="0.25">
      <c r="A111">
        <v>110</v>
      </c>
      <c r="B111" t="s">
        <v>717</v>
      </c>
    </row>
    <row r="112" spans="1:2" x14ac:dyDescent="0.25">
      <c r="A112">
        <v>111</v>
      </c>
      <c r="B112" t="s">
        <v>369</v>
      </c>
    </row>
    <row r="113" spans="1:2" x14ac:dyDescent="0.25">
      <c r="A113">
        <v>112</v>
      </c>
      <c r="B113" t="s">
        <v>717</v>
      </c>
    </row>
    <row r="114" spans="1:2" x14ac:dyDescent="0.25">
      <c r="A114">
        <v>113</v>
      </c>
      <c r="B114" t="s">
        <v>369</v>
      </c>
    </row>
    <row r="115" spans="1:2" x14ac:dyDescent="0.25">
      <c r="A115">
        <v>114</v>
      </c>
      <c r="B115" t="s">
        <v>329</v>
      </c>
    </row>
    <row r="116" spans="1:2" x14ac:dyDescent="0.25">
      <c r="A116">
        <v>115</v>
      </c>
      <c r="B116" t="s">
        <v>32</v>
      </c>
    </row>
    <row r="117" spans="1:2" x14ac:dyDescent="0.25">
      <c r="A117">
        <v>116</v>
      </c>
      <c r="B117" t="s">
        <v>717</v>
      </c>
    </row>
    <row r="118" spans="1:2" x14ac:dyDescent="0.25">
      <c r="A118">
        <v>117</v>
      </c>
      <c r="B118" t="s">
        <v>369</v>
      </c>
    </row>
    <row r="119" spans="1:2" x14ac:dyDescent="0.25">
      <c r="A119">
        <v>118</v>
      </c>
      <c r="B119" t="s">
        <v>329</v>
      </c>
    </row>
    <row r="120" spans="1:2" x14ac:dyDescent="0.25">
      <c r="A120">
        <v>119</v>
      </c>
      <c r="B120" t="s">
        <v>717</v>
      </c>
    </row>
    <row r="121" spans="1:2" x14ac:dyDescent="0.25">
      <c r="A121">
        <v>120</v>
      </c>
      <c r="B121" t="s">
        <v>369</v>
      </c>
    </row>
    <row r="122" spans="1:2" x14ac:dyDescent="0.25">
      <c r="A122">
        <v>121</v>
      </c>
      <c r="B122" t="s">
        <v>717</v>
      </c>
    </row>
    <row r="123" spans="1:2" x14ac:dyDescent="0.25">
      <c r="A123">
        <v>122</v>
      </c>
      <c r="B123" t="s">
        <v>329</v>
      </c>
    </row>
    <row r="124" spans="1:2" x14ac:dyDescent="0.25">
      <c r="A124">
        <v>123</v>
      </c>
      <c r="B124" t="s">
        <v>369</v>
      </c>
    </row>
    <row r="125" spans="1:2" x14ac:dyDescent="0.25">
      <c r="A125">
        <v>124</v>
      </c>
      <c r="B125" t="s">
        <v>329</v>
      </c>
    </row>
    <row r="126" spans="1:2" x14ac:dyDescent="0.25">
      <c r="A126">
        <v>125</v>
      </c>
      <c r="B126" t="s">
        <v>329</v>
      </c>
    </row>
    <row r="127" spans="1:2" x14ac:dyDescent="0.25">
      <c r="A127">
        <v>126</v>
      </c>
      <c r="B127" t="s">
        <v>369</v>
      </c>
    </row>
    <row r="128" spans="1:2" x14ac:dyDescent="0.25">
      <c r="A128">
        <v>127</v>
      </c>
      <c r="B128" t="s">
        <v>329</v>
      </c>
    </row>
    <row r="129" spans="1:2" x14ac:dyDescent="0.25">
      <c r="A129">
        <v>128</v>
      </c>
      <c r="B129" t="s">
        <v>32</v>
      </c>
    </row>
    <row r="130" spans="1:2" x14ac:dyDescent="0.25">
      <c r="A130">
        <v>129</v>
      </c>
      <c r="B130" t="s">
        <v>369</v>
      </c>
    </row>
    <row r="131" spans="1:2" x14ac:dyDescent="0.25">
      <c r="A131">
        <v>130</v>
      </c>
      <c r="B131" t="s">
        <v>32</v>
      </c>
    </row>
    <row r="132" spans="1:2" x14ac:dyDescent="0.25">
      <c r="A132">
        <v>131</v>
      </c>
      <c r="B132" t="s">
        <v>717</v>
      </c>
    </row>
    <row r="133" spans="1:2" x14ac:dyDescent="0.25">
      <c r="A133">
        <v>132</v>
      </c>
      <c r="B133" t="s">
        <v>329</v>
      </c>
    </row>
    <row r="134" spans="1:2" x14ac:dyDescent="0.25">
      <c r="A134">
        <v>133</v>
      </c>
      <c r="B134" t="s">
        <v>329</v>
      </c>
    </row>
    <row r="135" spans="1:2" x14ac:dyDescent="0.25">
      <c r="A135">
        <v>134</v>
      </c>
      <c r="B135" t="s">
        <v>32</v>
      </c>
    </row>
    <row r="136" spans="1:2" x14ac:dyDescent="0.25">
      <c r="A136">
        <v>135</v>
      </c>
      <c r="B136" t="s">
        <v>717</v>
      </c>
    </row>
    <row r="137" spans="1:2" x14ac:dyDescent="0.25">
      <c r="A137">
        <v>136</v>
      </c>
      <c r="B137" t="s">
        <v>369</v>
      </c>
    </row>
    <row r="138" spans="1:2" x14ac:dyDescent="0.25">
      <c r="A138">
        <v>137</v>
      </c>
      <c r="B138" t="s">
        <v>329</v>
      </c>
    </row>
    <row r="139" spans="1:2" x14ac:dyDescent="0.25">
      <c r="A139">
        <v>138</v>
      </c>
      <c r="B139" t="s">
        <v>329</v>
      </c>
    </row>
    <row r="140" spans="1:2" x14ac:dyDescent="0.25">
      <c r="A140">
        <v>139</v>
      </c>
      <c r="B140" t="s">
        <v>32</v>
      </c>
    </row>
    <row r="141" spans="1:2" x14ac:dyDescent="0.25">
      <c r="A141">
        <v>140</v>
      </c>
      <c r="B141" t="s">
        <v>717</v>
      </c>
    </row>
    <row r="142" spans="1:2" x14ac:dyDescent="0.25">
      <c r="A142">
        <v>141</v>
      </c>
      <c r="B142" t="s">
        <v>369</v>
      </c>
    </row>
    <row r="143" spans="1:2" x14ac:dyDescent="0.25">
      <c r="A143">
        <v>142</v>
      </c>
      <c r="B143" t="s">
        <v>329</v>
      </c>
    </row>
    <row r="144" spans="1:2" x14ac:dyDescent="0.25">
      <c r="A144">
        <v>143</v>
      </c>
      <c r="B144" t="s">
        <v>32</v>
      </c>
    </row>
    <row r="145" spans="1:2" x14ac:dyDescent="0.25">
      <c r="A145">
        <v>144</v>
      </c>
      <c r="B145" t="s">
        <v>329</v>
      </c>
    </row>
    <row r="146" spans="1:2" x14ac:dyDescent="0.25">
      <c r="A146">
        <v>145</v>
      </c>
      <c r="B146" t="s">
        <v>32</v>
      </c>
    </row>
    <row r="147" spans="1:2" x14ac:dyDescent="0.25">
      <c r="A147">
        <v>146</v>
      </c>
      <c r="B147" t="s">
        <v>717</v>
      </c>
    </row>
    <row r="148" spans="1:2" x14ac:dyDescent="0.25">
      <c r="A148">
        <v>147</v>
      </c>
      <c r="B148" t="s">
        <v>369</v>
      </c>
    </row>
    <row r="149" spans="1:2" x14ac:dyDescent="0.25">
      <c r="A149">
        <v>148</v>
      </c>
      <c r="B149" t="s">
        <v>329</v>
      </c>
    </row>
    <row r="150" spans="1:2" x14ac:dyDescent="0.25">
      <c r="A150">
        <v>149</v>
      </c>
      <c r="B150" t="s">
        <v>32</v>
      </c>
    </row>
    <row r="151" spans="1:2" x14ac:dyDescent="0.25">
      <c r="A151">
        <v>150</v>
      </c>
      <c r="B151" t="s">
        <v>717</v>
      </c>
    </row>
    <row r="152" spans="1:2" x14ac:dyDescent="0.25">
      <c r="A152">
        <v>151</v>
      </c>
      <c r="B152" t="s">
        <v>369</v>
      </c>
    </row>
    <row r="153" spans="1:2" x14ac:dyDescent="0.25">
      <c r="A153">
        <v>152</v>
      </c>
      <c r="B153" t="s">
        <v>329</v>
      </c>
    </row>
    <row r="154" spans="1:2" x14ac:dyDescent="0.25">
      <c r="A154">
        <v>153</v>
      </c>
      <c r="B154" t="s">
        <v>32</v>
      </c>
    </row>
    <row r="155" spans="1:2" x14ac:dyDescent="0.25">
      <c r="A155">
        <v>154</v>
      </c>
      <c r="B155" t="s">
        <v>329</v>
      </c>
    </row>
    <row r="156" spans="1:2" x14ac:dyDescent="0.25">
      <c r="A156">
        <v>155</v>
      </c>
      <c r="B156" t="s">
        <v>717</v>
      </c>
    </row>
    <row r="157" spans="1:2" x14ac:dyDescent="0.25">
      <c r="A157">
        <v>156</v>
      </c>
      <c r="B157" t="s">
        <v>717</v>
      </c>
    </row>
    <row r="158" spans="1:2" x14ac:dyDescent="0.25">
      <c r="A158">
        <v>157</v>
      </c>
      <c r="B158" t="s">
        <v>369</v>
      </c>
    </row>
    <row r="159" spans="1:2" x14ac:dyDescent="0.25">
      <c r="A159">
        <v>158</v>
      </c>
      <c r="B159" t="s">
        <v>329</v>
      </c>
    </row>
    <row r="160" spans="1:2" x14ac:dyDescent="0.25">
      <c r="A160">
        <v>159</v>
      </c>
      <c r="B160" t="s">
        <v>32</v>
      </c>
    </row>
    <row r="161" spans="1:2" x14ac:dyDescent="0.25">
      <c r="A161">
        <v>160</v>
      </c>
      <c r="B161" t="s">
        <v>329</v>
      </c>
    </row>
    <row r="162" spans="1:2" x14ac:dyDescent="0.25">
      <c r="A162">
        <v>161</v>
      </c>
      <c r="B162" t="s">
        <v>32</v>
      </c>
    </row>
    <row r="163" spans="1:2" x14ac:dyDescent="0.25">
      <c r="A163">
        <v>162</v>
      </c>
      <c r="B163" t="s">
        <v>369</v>
      </c>
    </row>
    <row r="164" spans="1:2" x14ac:dyDescent="0.25">
      <c r="A164">
        <v>163</v>
      </c>
      <c r="B164" t="s">
        <v>329</v>
      </c>
    </row>
    <row r="165" spans="1:2" x14ac:dyDescent="0.25">
      <c r="A165">
        <v>164</v>
      </c>
      <c r="B165" t="s">
        <v>329</v>
      </c>
    </row>
    <row r="166" spans="1:2" x14ac:dyDescent="0.25">
      <c r="A166">
        <v>165</v>
      </c>
      <c r="B166" t="s">
        <v>32</v>
      </c>
    </row>
    <row r="167" spans="1:2" x14ac:dyDescent="0.25">
      <c r="A167">
        <v>166</v>
      </c>
      <c r="B167" t="s">
        <v>717</v>
      </c>
    </row>
    <row r="168" spans="1:2" x14ac:dyDescent="0.25">
      <c r="A168">
        <v>167</v>
      </c>
      <c r="B168" t="s">
        <v>369</v>
      </c>
    </row>
    <row r="169" spans="1:2" x14ac:dyDescent="0.25">
      <c r="A169">
        <v>168</v>
      </c>
      <c r="B169" t="s">
        <v>329</v>
      </c>
    </row>
    <row r="170" spans="1:2" x14ac:dyDescent="0.25">
      <c r="A170">
        <v>169</v>
      </c>
      <c r="B170" t="s">
        <v>369</v>
      </c>
    </row>
    <row r="171" spans="1:2" x14ac:dyDescent="0.25">
      <c r="A171">
        <v>170</v>
      </c>
      <c r="B171" t="s">
        <v>329</v>
      </c>
    </row>
    <row r="172" spans="1:2" x14ac:dyDescent="0.25">
      <c r="A172">
        <v>171</v>
      </c>
      <c r="B172" t="s">
        <v>32</v>
      </c>
    </row>
    <row r="173" spans="1:2" x14ac:dyDescent="0.25">
      <c r="A173">
        <v>172</v>
      </c>
      <c r="B173" t="s">
        <v>329</v>
      </c>
    </row>
    <row r="174" spans="1:2" x14ac:dyDescent="0.25">
      <c r="A174">
        <v>173</v>
      </c>
      <c r="B174" t="s">
        <v>369</v>
      </c>
    </row>
    <row r="175" spans="1:2" x14ac:dyDescent="0.25">
      <c r="A175">
        <v>174</v>
      </c>
      <c r="B175" t="s">
        <v>329</v>
      </c>
    </row>
    <row r="176" spans="1:2" x14ac:dyDescent="0.25">
      <c r="A176">
        <v>175</v>
      </c>
      <c r="B176" t="s">
        <v>32</v>
      </c>
    </row>
    <row r="177" spans="1:2" x14ac:dyDescent="0.25">
      <c r="A177">
        <v>176</v>
      </c>
      <c r="B177" t="s">
        <v>32</v>
      </c>
    </row>
    <row r="178" spans="1:2" x14ac:dyDescent="0.25">
      <c r="A178">
        <v>177</v>
      </c>
      <c r="B178" t="s">
        <v>329</v>
      </c>
    </row>
    <row r="179" spans="1:2" x14ac:dyDescent="0.25">
      <c r="A179">
        <v>178</v>
      </c>
      <c r="B179" t="s">
        <v>32</v>
      </c>
    </row>
    <row r="180" spans="1:2" x14ac:dyDescent="0.25">
      <c r="A180">
        <v>179</v>
      </c>
      <c r="B180" t="s">
        <v>329</v>
      </c>
    </row>
    <row r="181" spans="1:2" x14ac:dyDescent="0.25">
      <c r="A181">
        <v>180</v>
      </c>
      <c r="B181" t="s">
        <v>32</v>
      </c>
    </row>
    <row r="182" spans="1:2" x14ac:dyDescent="0.25">
      <c r="A182">
        <v>181</v>
      </c>
      <c r="B182" t="s">
        <v>32</v>
      </c>
    </row>
    <row r="183" spans="1:2" x14ac:dyDescent="0.25">
      <c r="A183">
        <v>182</v>
      </c>
      <c r="B183" t="s">
        <v>329</v>
      </c>
    </row>
    <row r="184" spans="1:2" x14ac:dyDescent="0.25">
      <c r="A184">
        <v>183</v>
      </c>
      <c r="B184" t="s">
        <v>32</v>
      </c>
    </row>
    <row r="185" spans="1:2" x14ac:dyDescent="0.25">
      <c r="A185">
        <v>184</v>
      </c>
      <c r="B185" t="s">
        <v>717</v>
      </c>
    </row>
    <row r="186" spans="1:2" x14ac:dyDescent="0.25">
      <c r="A186">
        <v>185</v>
      </c>
      <c r="B186" t="s">
        <v>329</v>
      </c>
    </row>
    <row r="187" spans="1:2" x14ac:dyDescent="0.25">
      <c r="A187">
        <v>186</v>
      </c>
      <c r="B187" t="s">
        <v>329</v>
      </c>
    </row>
    <row r="188" spans="1:2" x14ac:dyDescent="0.25">
      <c r="A188">
        <v>187</v>
      </c>
      <c r="B188" t="s">
        <v>32</v>
      </c>
    </row>
    <row r="189" spans="1:2" x14ac:dyDescent="0.25">
      <c r="A189">
        <v>188</v>
      </c>
      <c r="B189" t="s">
        <v>717</v>
      </c>
    </row>
    <row r="190" spans="1:2" x14ac:dyDescent="0.25">
      <c r="A190">
        <v>189</v>
      </c>
      <c r="B190" t="s">
        <v>369</v>
      </c>
    </row>
    <row r="191" spans="1:2" x14ac:dyDescent="0.25">
      <c r="A191">
        <v>190</v>
      </c>
      <c r="B191" t="s">
        <v>329</v>
      </c>
    </row>
    <row r="192" spans="1:2" x14ac:dyDescent="0.25">
      <c r="A192">
        <v>191</v>
      </c>
      <c r="B192" t="s">
        <v>329</v>
      </c>
    </row>
    <row r="193" spans="1:2" x14ac:dyDescent="0.25">
      <c r="A193">
        <v>192</v>
      </c>
      <c r="B193" t="s">
        <v>369</v>
      </c>
    </row>
    <row r="194" spans="1:2" x14ac:dyDescent="0.25">
      <c r="A194">
        <v>193</v>
      </c>
      <c r="B194" t="s">
        <v>717</v>
      </c>
    </row>
    <row r="195" spans="1:2" x14ac:dyDescent="0.25">
      <c r="A195">
        <v>194</v>
      </c>
      <c r="B195" t="s">
        <v>329</v>
      </c>
    </row>
    <row r="196" spans="1:2" x14ac:dyDescent="0.25">
      <c r="A196">
        <v>195</v>
      </c>
      <c r="B196" t="s">
        <v>329</v>
      </c>
    </row>
    <row r="197" spans="1:2" x14ac:dyDescent="0.25">
      <c r="A197">
        <v>196</v>
      </c>
      <c r="B197" t="s">
        <v>329</v>
      </c>
    </row>
    <row r="198" spans="1:2" x14ac:dyDescent="0.25">
      <c r="A198">
        <v>197</v>
      </c>
      <c r="B198" t="s">
        <v>32</v>
      </c>
    </row>
    <row r="199" spans="1:2" x14ac:dyDescent="0.25">
      <c r="A199">
        <v>198</v>
      </c>
      <c r="B199" t="s">
        <v>32</v>
      </c>
    </row>
    <row r="200" spans="1:2" x14ac:dyDescent="0.25">
      <c r="A200">
        <v>199</v>
      </c>
      <c r="B200" t="s">
        <v>329</v>
      </c>
    </row>
    <row r="201" spans="1:2" x14ac:dyDescent="0.25">
      <c r="A201">
        <v>200</v>
      </c>
      <c r="B201" t="s">
        <v>32</v>
      </c>
    </row>
    <row r="202" spans="1:2" x14ac:dyDescent="0.25">
      <c r="A202">
        <v>201</v>
      </c>
      <c r="B202" t="s">
        <v>32</v>
      </c>
    </row>
    <row r="203" spans="1:2" x14ac:dyDescent="0.25">
      <c r="A203">
        <v>202</v>
      </c>
      <c r="B203" t="s">
        <v>369</v>
      </c>
    </row>
    <row r="204" spans="1:2" x14ac:dyDescent="0.25">
      <c r="A204">
        <v>203</v>
      </c>
      <c r="B204" t="s">
        <v>32</v>
      </c>
    </row>
    <row r="205" spans="1:2" x14ac:dyDescent="0.25">
      <c r="A205">
        <v>204</v>
      </c>
      <c r="B205" t="s">
        <v>329</v>
      </c>
    </row>
    <row r="206" spans="1:2" x14ac:dyDescent="0.25">
      <c r="A206">
        <v>205</v>
      </c>
      <c r="B206" t="s">
        <v>329</v>
      </c>
    </row>
    <row r="207" spans="1:2" x14ac:dyDescent="0.25">
      <c r="A207">
        <v>206</v>
      </c>
      <c r="B207" t="s">
        <v>32</v>
      </c>
    </row>
    <row r="208" spans="1:2" x14ac:dyDescent="0.25">
      <c r="A208">
        <v>207</v>
      </c>
      <c r="B208" t="s">
        <v>717</v>
      </c>
    </row>
    <row r="209" spans="1:2" x14ac:dyDescent="0.25">
      <c r="A209">
        <v>208</v>
      </c>
      <c r="B209" t="s">
        <v>329</v>
      </c>
    </row>
    <row r="210" spans="1:2" x14ac:dyDescent="0.25">
      <c r="A210">
        <v>209</v>
      </c>
      <c r="B210" t="s">
        <v>32</v>
      </c>
    </row>
    <row r="211" spans="1:2" x14ac:dyDescent="0.25">
      <c r="A211">
        <v>210</v>
      </c>
      <c r="B211" t="s">
        <v>717</v>
      </c>
    </row>
    <row r="212" spans="1:2" x14ac:dyDescent="0.25">
      <c r="A212">
        <v>211</v>
      </c>
      <c r="B212" t="s">
        <v>369</v>
      </c>
    </row>
    <row r="213" spans="1:2" x14ac:dyDescent="0.25">
      <c r="A213">
        <v>212</v>
      </c>
      <c r="B213" t="s">
        <v>369</v>
      </c>
    </row>
    <row r="214" spans="1:2" x14ac:dyDescent="0.25">
      <c r="A214">
        <v>213</v>
      </c>
      <c r="B214" t="s">
        <v>717</v>
      </c>
    </row>
    <row r="215" spans="1:2" x14ac:dyDescent="0.25">
      <c r="A215">
        <v>214</v>
      </c>
      <c r="B215" t="s">
        <v>329</v>
      </c>
    </row>
    <row r="216" spans="1:2" x14ac:dyDescent="0.25">
      <c r="A216">
        <v>215</v>
      </c>
      <c r="B216" t="s">
        <v>32</v>
      </c>
    </row>
    <row r="217" spans="1:2" x14ac:dyDescent="0.25">
      <c r="A217">
        <v>216</v>
      </c>
      <c r="B217" t="s">
        <v>329</v>
      </c>
    </row>
    <row r="218" spans="1:2" x14ac:dyDescent="0.25">
      <c r="A218">
        <v>217</v>
      </c>
      <c r="B218" t="s">
        <v>329</v>
      </c>
    </row>
    <row r="219" spans="1:2" x14ac:dyDescent="0.25">
      <c r="A219">
        <v>218</v>
      </c>
      <c r="B219" t="s">
        <v>32</v>
      </c>
    </row>
    <row r="220" spans="1:2" x14ac:dyDescent="0.25">
      <c r="A220">
        <v>219</v>
      </c>
      <c r="B220" t="s">
        <v>717</v>
      </c>
    </row>
    <row r="221" spans="1:2" x14ac:dyDescent="0.25">
      <c r="A221">
        <v>220</v>
      </c>
      <c r="B221" t="s">
        <v>32</v>
      </c>
    </row>
    <row r="222" spans="1:2" x14ac:dyDescent="0.25">
      <c r="A222">
        <v>221</v>
      </c>
      <c r="B222" t="s">
        <v>369</v>
      </c>
    </row>
    <row r="223" spans="1:2" x14ac:dyDescent="0.25">
      <c r="A223">
        <v>222</v>
      </c>
      <c r="B223" t="s">
        <v>329</v>
      </c>
    </row>
    <row r="224" spans="1:2" x14ac:dyDescent="0.25">
      <c r="A224">
        <v>223</v>
      </c>
      <c r="B224" t="s">
        <v>369</v>
      </c>
    </row>
    <row r="225" spans="1:2" x14ac:dyDescent="0.25">
      <c r="A225">
        <v>224</v>
      </c>
      <c r="B225" t="s">
        <v>717</v>
      </c>
    </row>
    <row r="226" spans="1:2" x14ac:dyDescent="0.25">
      <c r="A226">
        <v>225</v>
      </c>
      <c r="B226" t="s">
        <v>329</v>
      </c>
    </row>
    <row r="227" spans="1:2" x14ac:dyDescent="0.25">
      <c r="A227">
        <v>226</v>
      </c>
      <c r="B227" t="s">
        <v>32</v>
      </c>
    </row>
    <row r="228" spans="1:2" x14ac:dyDescent="0.25">
      <c r="A228">
        <v>227</v>
      </c>
      <c r="B228" t="s">
        <v>369</v>
      </c>
    </row>
    <row r="229" spans="1:2" x14ac:dyDescent="0.25">
      <c r="A229">
        <v>228</v>
      </c>
      <c r="B229" t="s">
        <v>32</v>
      </c>
    </row>
    <row r="230" spans="1:2" x14ac:dyDescent="0.25">
      <c r="A230">
        <v>229</v>
      </c>
      <c r="B230" t="s">
        <v>329</v>
      </c>
    </row>
    <row r="231" spans="1:2" x14ac:dyDescent="0.25">
      <c r="A231">
        <v>230</v>
      </c>
      <c r="B231" t="s">
        <v>329</v>
      </c>
    </row>
    <row r="232" spans="1:2" x14ac:dyDescent="0.25">
      <c r="A232">
        <v>231</v>
      </c>
      <c r="B232" t="s">
        <v>329</v>
      </c>
    </row>
    <row r="233" spans="1:2" x14ac:dyDescent="0.25">
      <c r="A233">
        <v>232</v>
      </c>
      <c r="B233" t="s">
        <v>32</v>
      </c>
    </row>
    <row r="234" spans="1:2" x14ac:dyDescent="0.25">
      <c r="A234">
        <v>233</v>
      </c>
      <c r="B234" t="s">
        <v>717</v>
      </c>
    </row>
    <row r="235" spans="1:2" x14ac:dyDescent="0.25">
      <c r="A235">
        <v>234</v>
      </c>
      <c r="B235" t="s">
        <v>369</v>
      </c>
    </row>
    <row r="236" spans="1:2" x14ac:dyDescent="0.25">
      <c r="A236">
        <v>235</v>
      </c>
      <c r="B236" t="s">
        <v>329</v>
      </c>
    </row>
    <row r="237" spans="1:2" x14ac:dyDescent="0.25">
      <c r="A237">
        <v>236</v>
      </c>
      <c r="B237" t="s">
        <v>329</v>
      </c>
    </row>
    <row r="238" spans="1:2" x14ac:dyDescent="0.25">
      <c r="A238">
        <v>237</v>
      </c>
      <c r="B238" t="s">
        <v>717</v>
      </c>
    </row>
    <row r="239" spans="1:2" x14ac:dyDescent="0.25">
      <c r="A239">
        <v>238</v>
      </c>
      <c r="B239" t="s">
        <v>369</v>
      </c>
    </row>
    <row r="240" spans="1:2" x14ac:dyDescent="0.25">
      <c r="A240">
        <v>239</v>
      </c>
      <c r="B240" t="s">
        <v>329</v>
      </c>
    </row>
    <row r="241" spans="1:2" x14ac:dyDescent="0.25">
      <c r="A241">
        <v>240</v>
      </c>
      <c r="B241" t="s">
        <v>32</v>
      </c>
    </row>
    <row r="242" spans="1:2" x14ac:dyDescent="0.25">
      <c r="A242">
        <v>241</v>
      </c>
      <c r="B242" t="s">
        <v>717</v>
      </c>
    </row>
    <row r="243" spans="1:2" x14ac:dyDescent="0.25">
      <c r="A243">
        <v>242</v>
      </c>
      <c r="B243" t="s">
        <v>369</v>
      </c>
    </row>
    <row r="244" spans="1:2" x14ac:dyDescent="0.25">
      <c r="A244">
        <v>243</v>
      </c>
      <c r="B244" t="s">
        <v>329</v>
      </c>
    </row>
    <row r="245" spans="1:2" x14ac:dyDescent="0.25">
      <c r="A245">
        <v>244</v>
      </c>
      <c r="B245" t="s">
        <v>32</v>
      </c>
    </row>
    <row r="246" spans="1:2" x14ac:dyDescent="0.25">
      <c r="A246">
        <v>245</v>
      </c>
      <c r="B246" t="s">
        <v>329</v>
      </c>
    </row>
    <row r="247" spans="1:2" x14ac:dyDescent="0.25">
      <c r="A247">
        <v>246</v>
      </c>
      <c r="B247" t="s">
        <v>32</v>
      </c>
    </row>
    <row r="248" spans="1:2" x14ac:dyDescent="0.25">
      <c r="A248">
        <v>247</v>
      </c>
      <c r="B248" t="s">
        <v>717</v>
      </c>
    </row>
    <row r="249" spans="1:2" x14ac:dyDescent="0.25">
      <c r="A249">
        <v>248</v>
      </c>
      <c r="B249" t="s">
        <v>369</v>
      </c>
    </row>
    <row r="250" spans="1:2" x14ac:dyDescent="0.25">
      <c r="A250">
        <v>249</v>
      </c>
      <c r="B250" t="s">
        <v>369</v>
      </c>
    </row>
    <row r="251" spans="1:2" x14ac:dyDescent="0.25">
      <c r="A251">
        <v>250</v>
      </c>
      <c r="B251" t="s">
        <v>329</v>
      </c>
    </row>
    <row r="252" spans="1:2" x14ac:dyDescent="0.25">
      <c r="A252">
        <v>251</v>
      </c>
      <c r="B252" t="s">
        <v>32</v>
      </c>
    </row>
    <row r="253" spans="1:2" x14ac:dyDescent="0.25">
      <c r="A253">
        <v>252</v>
      </c>
      <c r="B253" t="s">
        <v>329</v>
      </c>
    </row>
    <row r="254" spans="1:2" x14ac:dyDescent="0.25">
      <c r="A254">
        <v>253</v>
      </c>
      <c r="B254" t="s">
        <v>717</v>
      </c>
    </row>
    <row r="255" spans="1:2" x14ac:dyDescent="0.25">
      <c r="A255">
        <v>254</v>
      </c>
      <c r="B255" t="s">
        <v>369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496B1-66AB-411C-B96D-1F14CE7A456D}">
  <dimension ref="A1:B331"/>
  <sheetViews>
    <sheetView topLeftCell="A306" workbookViewId="0">
      <selection activeCell="B1" sqref="B1:B1048576"/>
    </sheetView>
  </sheetViews>
  <sheetFormatPr defaultRowHeight="12.5" x14ac:dyDescent="0.25"/>
  <cols>
    <col min="1" max="1" width="23.54296875" bestFit="1" customWidth="1"/>
    <col min="2" max="2" width="7.81640625" bestFit="1" customWidth="1"/>
  </cols>
  <sheetData>
    <row r="1" spans="1:2" x14ac:dyDescent="0.25">
      <c r="A1" t="s">
        <v>828</v>
      </c>
      <c r="B1" t="s">
        <v>829</v>
      </c>
    </row>
    <row r="2" spans="1:2" x14ac:dyDescent="0.25">
      <c r="A2" t="s">
        <v>329</v>
      </c>
      <c r="B2">
        <v>1</v>
      </c>
    </row>
    <row r="3" spans="1:2" x14ac:dyDescent="0.25">
      <c r="A3" t="s">
        <v>32</v>
      </c>
      <c r="B3">
        <v>1</v>
      </c>
    </row>
    <row r="4" spans="1:2" x14ac:dyDescent="0.25">
      <c r="A4" t="s">
        <v>717</v>
      </c>
      <c r="B4">
        <v>1</v>
      </c>
    </row>
    <row r="5" spans="1:2" x14ac:dyDescent="0.25">
      <c r="A5" t="s">
        <v>32</v>
      </c>
      <c r="B5">
        <v>1</v>
      </c>
    </row>
    <row r="6" spans="1:2" x14ac:dyDescent="0.25">
      <c r="A6" t="s">
        <v>717</v>
      </c>
      <c r="B6">
        <v>1</v>
      </c>
    </row>
    <row r="7" spans="1:2" x14ac:dyDescent="0.25">
      <c r="A7" t="s">
        <v>329</v>
      </c>
      <c r="B7">
        <v>1</v>
      </c>
    </row>
    <row r="8" spans="1:2" x14ac:dyDescent="0.25">
      <c r="A8" t="s">
        <v>32</v>
      </c>
      <c r="B8">
        <v>1</v>
      </c>
    </row>
    <row r="9" spans="1:2" x14ac:dyDescent="0.25">
      <c r="A9" t="s">
        <v>369</v>
      </c>
      <c r="B9">
        <v>1</v>
      </c>
    </row>
    <row r="10" spans="1:2" x14ac:dyDescent="0.25">
      <c r="A10" t="s">
        <v>329</v>
      </c>
      <c r="B10">
        <v>1</v>
      </c>
    </row>
    <row r="11" spans="1:2" x14ac:dyDescent="0.25">
      <c r="A11" t="s">
        <v>32</v>
      </c>
      <c r="B11">
        <v>1</v>
      </c>
    </row>
    <row r="12" spans="1:2" x14ac:dyDescent="0.25">
      <c r="A12" t="s">
        <v>717</v>
      </c>
      <c r="B12">
        <v>1</v>
      </c>
    </row>
    <row r="13" spans="1:2" x14ac:dyDescent="0.25">
      <c r="A13" t="s">
        <v>369</v>
      </c>
      <c r="B13">
        <v>1</v>
      </c>
    </row>
    <row r="14" spans="1:2" x14ac:dyDescent="0.25">
      <c r="A14" t="s">
        <v>329</v>
      </c>
      <c r="B14">
        <v>1</v>
      </c>
    </row>
    <row r="15" spans="1:2" x14ac:dyDescent="0.25">
      <c r="A15" t="s">
        <v>32</v>
      </c>
      <c r="B15">
        <v>1</v>
      </c>
    </row>
    <row r="16" spans="1:2" x14ac:dyDescent="0.25">
      <c r="A16" t="s">
        <v>329</v>
      </c>
      <c r="B16">
        <v>1</v>
      </c>
    </row>
    <row r="17" spans="1:2" x14ac:dyDescent="0.25">
      <c r="A17" t="s">
        <v>32</v>
      </c>
      <c r="B17">
        <v>1</v>
      </c>
    </row>
    <row r="18" spans="1:2" x14ac:dyDescent="0.25">
      <c r="A18" t="s">
        <v>329</v>
      </c>
      <c r="B18">
        <v>1</v>
      </c>
    </row>
    <row r="19" spans="1:2" x14ac:dyDescent="0.25">
      <c r="A19" t="s">
        <v>717</v>
      </c>
      <c r="B19">
        <v>1</v>
      </c>
    </row>
    <row r="20" spans="1:2" x14ac:dyDescent="0.25">
      <c r="A20" t="s">
        <v>369</v>
      </c>
      <c r="B20">
        <v>1</v>
      </c>
    </row>
    <row r="21" spans="1:2" x14ac:dyDescent="0.25">
      <c r="A21" t="s">
        <v>329</v>
      </c>
      <c r="B21">
        <v>1</v>
      </c>
    </row>
    <row r="22" spans="1:2" x14ac:dyDescent="0.25">
      <c r="A22" t="s">
        <v>717</v>
      </c>
      <c r="B22">
        <v>1</v>
      </c>
    </row>
    <row r="23" spans="1:2" x14ac:dyDescent="0.25">
      <c r="A23" t="s">
        <v>329</v>
      </c>
      <c r="B23">
        <v>1</v>
      </c>
    </row>
    <row r="24" spans="1:2" x14ac:dyDescent="0.25">
      <c r="A24" t="s">
        <v>32</v>
      </c>
      <c r="B24">
        <v>1</v>
      </c>
    </row>
    <row r="25" spans="1:2" x14ac:dyDescent="0.25">
      <c r="A25" t="s">
        <v>717</v>
      </c>
      <c r="B25">
        <v>1</v>
      </c>
    </row>
    <row r="26" spans="1:2" x14ac:dyDescent="0.25">
      <c r="A26" t="s">
        <v>329</v>
      </c>
      <c r="B26">
        <v>1</v>
      </c>
    </row>
    <row r="27" spans="1:2" x14ac:dyDescent="0.25">
      <c r="A27" t="s">
        <v>369</v>
      </c>
      <c r="B27">
        <v>1</v>
      </c>
    </row>
    <row r="28" spans="1:2" x14ac:dyDescent="0.25">
      <c r="A28" t="s">
        <v>329</v>
      </c>
      <c r="B28">
        <v>1</v>
      </c>
    </row>
    <row r="29" spans="1:2" x14ac:dyDescent="0.25">
      <c r="A29" t="s">
        <v>32</v>
      </c>
      <c r="B29">
        <v>1</v>
      </c>
    </row>
    <row r="30" spans="1:2" x14ac:dyDescent="0.25">
      <c r="A30" t="s">
        <v>717</v>
      </c>
      <c r="B30">
        <v>1</v>
      </c>
    </row>
    <row r="31" spans="1:2" x14ac:dyDescent="0.25">
      <c r="A31" t="s">
        <v>369</v>
      </c>
      <c r="B31">
        <v>1</v>
      </c>
    </row>
    <row r="32" spans="1:2" x14ac:dyDescent="0.25">
      <c r="A32" t="s">
        <v>32</v>
      </c>
      <c r="B32">
        <v>1</v>
      </c>
    </row>
    <row r="33" spans="1:2" x14ac:dyDescent="0.25">
      <c r="A33" t="s">
        <v>369</v>
      </c>
      <c r="B33">
        <v>1</v>
      </c>
    </row>
    <row r="34" spans="1:2" x14ac:dyDescent="0.25">
      <c r="A34" t="s">
        <v>329</v>
      </c>
      <c r="B34">
        <v>1</v>
      </c>
    </row>
    <row r="35" spans="1:2" x14ac:dyDescent="0.25">
      <c r="A35" t="s">
        <v>32</v>
      </c>
      <c r="B35">
        <v>1</v>
      </c>
    </row>
    <row r="36" spans="1:2" x14ac:dyDescent="0.25">
      <c r="A36" t="s">
        <v>717</v>
      </c>
      <c r="B36">
        <v>1</v>
      </c>
    </row>
    <row r="37" spans="1:2" x14ac:dyDescent="0.25">
      <c r="A37" t="s">
        <v>329</v>
      </c>
      <c r="B37">
        <v>1</v>
      </c>
    </row>
    <row r="38" spans="1:2" x14ac:dyDescent="0.25">
      <c r="A38" t="s">
        <v>32</v>
      </c>
      <c r="B38">
        <v>1</v>
      </c>
    </row>
    <row r="39" spans="1:2" x14ac:dyDescent="0.25">
      <c r="A39" t="s">
        <v>329</v>
      </c>
      <c r="B39">
        <v>1</v>
      </c>
    </row>
    <row r="40" spans="1:2" x14ac:dyDescent="0.25">
      <c r="A40" t="s">
        <v>32</v>
      </c>
      <c r="B40">
        <v>1</v>
      </c>
    </row>
    <row r="41" spans="1:2" x14ac:dyDescent="0.25">
      <c r="A41" t="s">
        <v>717</v>
      </c>
      <c r="B41">
        <v>1</v>
      </c>
    </row>
    <row r="42" spans="1:2" x14ac:dyDescent="0.25">
      <c r="A42" t="s">
        <v>369</v>
      </c>
      <c r="B42">
        <v>1</v>
      </c>
    </row>
    <row r="43" spans="1:2" x14ac:dyDescent="0.25">
      <c r="A43" t="s">
        <v>329</v>
      </c>
      <c r="B43">
        <v>1</v>
      </c>
    </row>
    <row r="44" spans="1:2" x14ac:dyDescent="0.25">
      <c r="A44" t="s">
        <v>32</v>
      </c>
      <c r="B44">
        <v>1</v>
      </c>
    </row>
    <row r="45" spans="1:2" x14ac:dyDescent="0.25">
      <c r="A45" t="s">
        <v>717</v>
      </c>
      <c r="B45">
        <v>1</v>
      </c>
    </row>
    <row r="46" spans="1:2" x14ac:dyDescent="0.25">
      <c r="A46" t="s">
        <v>369</v>
      </c>
      <c r="B46">
        <v>1</v>
      </c>
    </row>
    <row r="47" spans="1:2" x14ac:dyDescent="0.25">
      <c r="A47" t="s">
        <v>32</v>
      </c>
      <c r="B47">
        <v>1</v>
      </c>
    </row>
    <row r="48" spans="1:2" x14ac:dyDescent="0.25">
      <c r="A48" t="s">
        <v>717</v>
      </c>
      <c r="B48">
        <v>1</v>
      </c>
    </row>
    <row r="49" spans="1:2" x14ac:dyDescent="0.25">
      <c r="A49" t="s">
        <v>329</v>
      </c>
      <c r="B49">
        <v>1</v>
      </c>
    </row>
    <row r="50" spans="1:2" x14ac:dyDescent="0.25">
      <c r="A50" t="s">
        <v>32</v>
      </c>
      <c r="B50">
        <v>1</v>
      </c>
    </row>
    <row r="51" spans="1:2" x14ac:dyDescent="0.25">
      <c r="A51" t="s">
        <v>717</v>
      </c>
      <c r="B51">
        <v>1</v>
      </c>
    </row>
    <row r="52" spans="1:2" x14ac:dyDescent="0.25">
      <c r="A52" t="s">
        <v>369</v>
      </c>
      <c r="B52">
        <v>1</v>
      </c>
    </row>
    <row r="53" spans="1:2" x14ac:dyDescent="0.25">
      <c r="A53" t="s">
        <v>329</v>
      </c>
      <c r="B53">
        <v>1</v>
      </c>
    </row>
    <row r="54" spans="1:2" x14ac:dyDescent="0.25">
      <c r="A54" t="s">
        <v>329</v>
      </c>
      <c r="B54">
        <v>1</v>
      </c>
    </row>
    <row r="55" spans="1:2" x14ac:dyDescent="0.25">
      <c r="A55" t="s">
        <v>717</v>
      </c>
      <c r="B55">
        <v>1</v>
      </c>
    </row>
    <row r="56" spans="1:2" x14ac:dyDescent="0.25">
      <c r="A56" t="s">
        <v>369</v>
      </c>
      <c r="B56">
        <v>1</v>
      </c>
    </row>
    <row r="57" spans="1:2" x14ac:dyDescent="0.25">
      <c r="A57" t="s">
        <v>329</v>
      </c>
      <c r="B57">
        <v>1</v>
      </c>
    </row>
    <row r="58" spans="1:2" x14ac:dyDescent="0.25">
      <c r="A58" t="s">
        <v>32</v>
      </c>
      <c r="B58">
        <v>1</v>
      </c>
    </row>
    <row r="59" spans="1:2" x14ac:dyDescent="0.25">
      <c r="A59" t="s">
        <v>329</v>
      </c>
      <c r="B59">
        <v>1</v>
      </c>
    </row>
    <row r="60" spans="1:2" x14ac:dyDescent="0.25">
      <c r="A60" t="s">
        <v>32</v>
      </c>
      <c r="B60">
        <v>1</v>
      </c>
    </row>
    <row r="61" spans="1:2" x14ac:dyDescent="0.25">
      <c r="A61" t="s">
        <v>369</v>
      </c>
      <c r="B61">
        <v>1</v>
      </c>
    </row>
    <row r="62" spans="1:2" x14ac:dyDescent="0.25">
      <c r="A62" t="s">
        <v>32</v>
      </c>
      <c r="B62">
        <v>1</v>
      </c>
    </row>
    <row r="63" spans="1:2" x14ac:dyDescent="0.25">
      <c r="A63" t="s">
        <v>329</v>
      </c>
      <c r="B63">
        <v>1</v>
      </c>
    </row>
    <row r="64" spans="1:2" x14ac:dyDescent="0.25">
      <c r="A64" t="s">
        <v>329</v>
      </c>
      <c r="B64">
        <v>1</v>
      </c>
    </row>
    <row r="65" spans="1:2" x14ac:dyDescent="0.25">
      <c r="A65" t="s">
        <v>329</v>
      </c>
      <c r="B65">
        <v>1</v>
      </c>
    </row>
    <row r="66" spans="1:2" x14ac:dyDescent="0.25">
      <c r="A66" t="s">
        <v>32</v>
      </c>
      <c r="B66">
        <v>1</v>
      </c>
    </row>
    <row r="67" spans="1:2" x14ac:dyDescent="0.25">
      <c r="A67" t="s">
        <v>717</v>
      </c>
      <c r="B67">
        <v>1</v>
      </c>
    </row>
    <row r="68" spans="1:2" x14ac:dyDescent="0.25">
      <c r="A68" t="s">
        <v>32</v>
      </c>
      <c r="B68">
        <v>1</v>
      </c>
    </row>
    <row r="69" spans="1:2" x14ac:dyDescent="0.25">
      <c r="A69" t="s">
        <v>369</v>
      </c>
      <c r="B69">
        <v>1</v>
      </c>
    </row>
    <row r="70" spans="1:2" x14ac:dyDescent="0.25">
      <c r="A70" t="s">
        <v>329</v>
      </c>
      <c r="B70">
        <v>1</v>
      </c>
    </row>
    <row r="71" spans="1:2" x14ac:dyDescent="0.25">
      <c r="A71" t="s">
        <v>329</v>
      </c>
      <c r="B71">
        <v>1</v>
      </c>
    </row>
    <row r="72" spans="1:2" x14ac:dyDescent="0.25">
      <c r="A72" t="s">
        <v>32</v>
      </c>
      <c r="B72">
        <v>1</v>
      </c>
    </row>
    <row r="73" spans="1:2" x14ac:dyDescent="0.25">
      <c r="A73" t="s">
        <v>717</v>
      </c>
      <c r="B73">
        <v>1</v>
      </c>
    </row>
    <row r="74" spans="1:2" x14ac:dyDescent="0.25">
      <c r="A74" t="s">
        <v>369</v>
      </c>
      <c r="B74">
        <v>1</v>
      </c>
    </row>
    <row r="75" spans="1:2" x14ac:dyDescent="0.25">
      <c r="A75" t="s">
        <v>329</v>
      </c>
      <c r="B75">
        <v>1</v>
      </c>
    </row>
    <row r="76" spans="1:2" x14ac:dyDescent="0.25">
      <c r="A76" t="s">
        <v>717</v>
      </c>
      <c r="B76">
        <v>1</v>
      </c>
    </row>
    <row r="77" spans="1:2" x14ac:dyDescent="0.25">
      <c r="A77" t="s">
        <v>32</v>
      </c>
      <c r="B77">
        <v>1</v>
      </c>
    </row>
    <row r="78" spans="1:2" x14ac:dyDescent="0.25">
      <c r="A78" t="s">
        <v>717</v>
      </c>
      <c r="B78">
        <v>1</v>
      </c>
    </row>
    <row r="79" spans="1:2" x14ac:dyDescent="0.25">
      <c r="A79" t="s">
        <v>329</v>
      </c>
      <c r="B79">
        <v>1</v>
      </c>
    </row>
    <row r="80" spans="1:2" x14ac:dyDescent="0.25">
      <c r="A80" t="s">
        <v>329</v>
      </c>
      <c r="B80">
        <v>1</v>
      </c>
    </row>
    <row r="81" spans="1:2" x14ac:dyDescent="0.25">
      <c r="A81" t="s">
        <v>32</v>
      </c>
      <c r="B81">
        <v>1</v>
      </c>
    </row>
    <row r="82" spans="1:2" x14ac:dyDescent="0.25">
      <c r="A82" t="s">
        <v>329</v>
      </c>
      <c r="B82">
        <v>1</v>
      </c>
    </row>
    <row r="83" spans="1:2" x14ac:dyDescent="0.25">
      <c r="A83" t="s">
        <v>369</v>
      </c>
      <c r="B83">
        <v>1</v>
      </c>
    </row>
    <row r="84" spans="1:2" x14ac:dyDescent="0.25">
      <c r="A84" t="s">
        <v>329</v>
      </c>
      <c r="B84">
        <v>1</v>
      </c>
    </row>
    <row r="85" spans="1:2" x14ac:dyDescent="0.25">
      <c r="A85" t="s">
        <v>329</v>
      </c>
      <c r="B85">
        <v>1</v>
      </c>
    </row>
    <row r="86" spans="1:2" x14ac:dyDescent="0.25">
      <c r="A86" t="s">
        <v>32</v>
      </c>
      <c r="B86">
        <v>1</v>
      </c>
    </row>
    <row r="87" spans="1:2" x14ac:dyDescent="0.25">
      <c r="A87" t="s">
        <v>329</v>
      </c>
      <c r="B87">
        <v>1</v>
      </c>
    </row>
    <row r="88" spans="1:2" x14ac:dyDescent="0.25">
      <c r="A88" t="s">
        <v>32</v>
      </c>
      <c r="B88">
        <v>1</v>
      </c>
    </row>
    <row r="89" spans="1:2" x14ac:dyDescent="0.25">
      <c r="A89" t="s">
        <v>717</v>
      </c>
      <c r="B89">
        <v>1</v>
      </c>
    </row>
    <row r="90" spans="1:2" x14ac:dyDescent="0.25">
      <c r="A90" t="s">
        <v>369</v>
      </c>
      <c r="B90">
        <v>1</v>
      </c>
    </row>
    <row r="91" spans="1:2" x14ac:dyDescent="0.25">
      <c r="A91" t="s">
        <v>369</v>
      </c>
      <c r="B91">
        <v>1</v>
      </c>
    </row>
    <row r="92" spans="1:2" x14ac:dyDescent="0.25">
      <c r="A92" t="s">
        <v>32</v>
      </c>
      <c r="B92">
        <v>1</v>
      </c>
    </row>
    <row r="93" spans="1:2" x14ac:dyDescent="0.25">
      <c r="A93" t="s">
        <v>329</v>
      </c>
      <c r="B93">
        <v>1</v>
      </c>
    </row>
    <row r="94" spans="1:2" x14ac:dyDescent="0.25">
      <c r="A94" t="s">
        <v>329</v>
      </c>
      <c r="B94">
        <v>1</v>
      </c>
    </row>
    <row r="95" spans="1:2" x14ac:dyDescent="0.25">
      <c r="A95" t="s">
        <v>32</v>
      </c>
      <c r="B95">
        <v>1</v>
      </c>
    </row>
    <row r="96" spans="1:2" x14ac:dyDescent="0.25">
      <c r="A96" t="s">
        <v>717</v>
      </c>
      <c r="B96">
        <v>1</v>
      </c>
    </row>
    <row r="97" spans="1:2" x14ac:dyDescent="0.25">
      <c r="A97" t="s">
        <v>369</v>
      </c>
      <c r="B97">
        <v>1</v>
      </c>
    </row>
    <row r="98" spans="1:2" x14ac:dyDescent="0.25">
      <c r="A98" t="s">
        <v>329</v>
      </c>
      <c r="B98">
        <v>1</v>
      </c>
    </row>
    <row r="99" spans="1:2" x14ac:dyDescent="0.25">
      <c r="A99" t="s">
        <v>329</v>
      </c>
      <c r="B99">
        <v>1</v>
      </c>
    </row>
    <row r="100" spans="1:2" x14ac:dyDescent="0.25">
      <c r="A100" t="s">
        <v>32</v>
      </c>
      <c r="B100">
        <v>1</v>
      </c>
    </row>
    <row r="101" spans="1:2" x14ac:dyDescent="0.25">
      <c r="A101" t="s">
        <v>329</v>
      </c>
      <c r="B101">
        <v>1</v>
      </c>
    </row>
    <row r="102" spans="1:2" x14ac:dyDescent="0.25">
      <c r="A102" t="s">
        <v>32</v>
      </c>
      <c r="B102">
        <v>1</v>
      </c>
    </row>
    <row r="103" spans="1:2" x14ac:dyDescent="0.25">
      <c r="A103" t="s">
        <v>329</v>
      </c>
      <c r="B103">
        <v>1</v>
      </c>
    </row>
    <row r="104" spans="1:2" x14ac:dyDescent="0.25">
      <c r="A104" t="s">
        <v>32</v>
      </c>
      <c r="B104">
        <v>1</v>
      </c>
    </row>
    <row r="105" spans="1:2" x14ac:dyDescent="0.25">
      <c r="A105" t="s">
        <v>329</v>
      </c>
      <c r="B105">
        <v>1</v>
      </c>
    </row>
    <row r="106" spans="1:2" x14ac:dyDescent="0.25">
      <c r="A106" t="s">
        <v>32</v>
      </c>
      <c r="B106">
        <v>1</v>
      </c>
    </row>
    <row r="107" spans="1:2" x14ac:dyDescent="0.25">
      <c r="A107" t="s">
        <v>329</v>
      </c>
      <c r="B107">
        <v>1</v>
      </c>
    </row>
    <row r="108" spans="1:2" x14ac:dyDescent="0.25">
      <c r="A108" t="s">
        <v>32</v>
      </c>
      <c r="B108">
        <v>1</v>
      </c>
    </row>
    <row r="109" spans="1:2" x14ac:dyDescent="0.25">
      <c r="A109" t="s">
        <v>32</v>
      </c>
      <c r="B109">
        <v>1</v>
      </c>
    </row>
    <row r="110" spans="1:2" x14ac:dyDescent="0.25">
      <c r="A110" t="s">
        <v>32</v>
      </c>
      <c r="B110">
        <v>1</v>
      </c>
    </row>
    <row r="111" spans="1:2" x14ac:dyDescent="0.25">
      <c r="A111" t="s">
        <v>717</v>
      </c>
      <c r="B111">
        <v>1</v>
      </c>
    </row>
    <row r="112" spans="1:2" x14ac:dyDescent="0.25">
      <c r="A112" t="s">
        <v>32</v>
      </c>
      <c r="B112">
        <v>1</v>
      </c>
    </row>
    <row r="113" spans="1:2" x14ac:dyDescent="0.25">
      <c r="A113" t="s">
        <v>717</v>
      </c>
      <c r="B113">
        <v>1</v>
      </c>
    </row>
    <row r="114" spans="1:2" x14ac:dyDescent="0.25">
      <c r="A114" t="s">
        <v>329</v>
      </c>
      <c r="B114">
        <v>1</v>
      </c>
    </row>
    <row r="115" spans="1:2" x14ac:dyDescent="0.25">
      <c r="A115" t="s">
        <v>32</v>
      </c>
      <c r="B115">
        <v>1</v>
      </c>
    </row>
    <row r="116" spans="1:2" x14ac:dyDescent="0.25">
      <c r="A116" t="s">
        <v>717</v>
      </c>
      <c r="B116">
        <v>1</v>
      </c>
    </row>
    <row r="117" spans="1:2" x14ac:dyDescent="0.25">
      <c r="A117" t="s">
        <v>32</v>
      </c>
      <c r="B117">
        <v>1</v>
      </c>
    </row>
    <row r="118" spans="1:2" x14ac:dyDescent="0.25">
      <c r="A118" t="s">
        <v>717</v>
      </c>
      <c r="B118">
        <v>1</v>
      </c>
    </row>
    <row r="119" spans="1:2" x14ac:dyDescent="0.25">
      <c r="A119" t="s">
        <v>329</v>
      </c>
      <c r="B119">
        <v>1</v>
      </c>
    </row>
    <row r="120" spans="1:2" x14ac:dyDescent="0.25">
      <c r="A120" t="s">
        <v>329</v>
      </c>
      <c r="B120">
        <v>1</v>
      </c>
    </row>
    <row r="121" spans="1:2" x14ac:dyDescent="0.25">
      <c r="A121" t="s">
        <v>717</v>
      </c>
      <c r="B121">
        <v>1</v>
      </c>
    </row>
    <row r="122" spans="1:2" x14ac:dyDescent="0.25">
      <c r="A122" t="s">
        <v>717</v>
      </c>
      <c r="B122">
        <v>1</v>
      </c>
    </row>
    <row r="123" spans="1:2" x14ac:dyDescent="0.25">
      <c r="A123" t="s">
        <v>369</v>
      </c>
      <c r="B123">
        <v>1</v>
      </c>
    </row>
    <row r="124" spans="1:2" x14ac:dyDescent="0.25">
      <c r="A124" t="s">
        <v>329</v>
      </c>
      <c r="B124">
        <v>1</v>
      </c>
    </row>
    <row r="125" spans="1:2" x14ac:dyDescent="0.25">
      <c r="A125" t="s">
        <v>32</v>
      </c>
      <c r="B125">
        <v>1</v>
      </c>
    </row>
    <row r="126" spans="1:2" x14ac:dyDescent="0.25">
      <c r="A126" t="s">
        <v>329</v>
      </c>
      <c r="B126">
        <v>1</v>
      </c>
    </row>
    <row r="127" spans="1:2" x14ac:dyDescent="0.25">
      <c r="A127" t="s">
        <v>32</v>
      </c>
      <c r="B127">
        <v>1</v>
      </c>
    </row>
    <row r="128" spans="1:2" x14ac:dyDescent="0.25">
      <c r="A128" t="s">
        <v>329</v>
      </c>
      <c r="B128">
        <v>1</v>
      </c>
    </row>
    <row r="129" spans="1:2" x14ac:dyDescent="0.25">
      <c r="A129" t="s">
        <v>32</v>
      </c>
      <c r="B129">
        <v>1</v>
      </c>
    </row>
    <row r="130" spans="1:2" x14ac:dyDescent="0.25">
      <c r="A130" t="s">
        <v>369</v>
      </c>
      <c r="B130">
        <v>1</v>
      </c>
    </row>
    <row r="131" spans="1:2" x14ac:dyDescent="0.25">
      <c r="A131" t="s">
        <v>32</v>
      </c>
      <c r="B131">
        <v>1</v>
      </c>
    </row>
    <row r="132" spans="1:2" x14ac:dyDescent="0.25">
      <c r="A132" t="s">
        <v>32</v>
      </c>
      <c r="B132">
        <v>1</v>
      </c>
    </row>
    <row r="133" spans="1:2" x14ac:dyDescent="0.25">
      <c r="A133" t="s">
        <v>369</v>
      </c>
      <c r="B133">
        <v>1</v>
      </c>
    </row>
    <row r="134" spans="1:2" x14ac:dyDescent="0.25">
      <c r="A134" t="s">
        <v>329</v>
      </c>
      <c r="B134">
        <v>1</v>
      </c>
    </row>
    <row r="135" spans="1:2" x14ac:dyDescent="0.25">
      <c r="A135" t="s">
        <v>329</v>
      </c>
      <c r="B135">
        <v>1</v>
      </c>
    </row>
    <row r="136" spans="1:2" x14ac:dyDescent="0.25">
      <c r="A136" t="s">
        <v>329</v>
      </c>
      <c r="B136">
        <v>1</v>
      </c>
    </row>
    <row r="137" spans="1:2" x14ac:dyDescent="0.25">
      <c r="A137" t="s">
        <v>32</v>
      </c>
      <c r="B137">
        <v>1</v>
      </c>
    </row>
    <row r="138" spans="1:2" x14ac:dyDescent="0.25">
      <c r="A138" t="s">
        <v>329</v>
      </c>
      <c r="B138">
        <v>1</v>
      </c>
    </row>
    <row r="139" spans="1:2" x14ac:dyDescent="0.25">
      <c r="A139" t="s">
        <v>32</v>
      </c>
      <c r="B139">
        <v>1</v>
      </c>
    </row>
    <row r="140" spans="1:2" x14ac:dyDescent="0.25">
      <c r="A140" t="s">
        <v>369</v>
      </c>
      <c r="B140">
        <v>1</v>
      </c>
    </row>
    <row r="141" spans="1:2" x14ac:dyDescent="0.25">
      <c r="A141" t="s">
        <v>329</v>
      </c>
      <c r="B141">
        <v>1</v>
      </c>
    </row>
    <row r="142" spans="1:2" x14ac:dyDescent="0.25">
      <c r="A142" t="s">
        <v>32</v>
      </c>
      <c r="B142">
        <v>1</v>
      </c>
    </row>
    <row r="143" spans="1:2" x14ac:dyDescent="0.25">
      <c r="A143" t="s">
        <v>717</v>
      </c>
      <c r="B143">
        <v>1</v>
      </c>
    </row>
    <row r="144" spans="1:2" x14ac:dyDescent="0.25">
      <c r="A144" t="s">
        <v>369</v>
      </c>
      <c r="B144">
        <v>1</v>
      </c>
    </row>
    <row r="145" spans="1:2" x14ac:dyDescent="0.25">
      <c r="A145" t="s">
        <v>32</v>
      </c>
      <c r="B145">
        <v>1</v>
      </c>
    </row>
    <row r="146" spans="1:2" x14ac:dyDescent="0.25">
      <c r="A146" t="s">
        <v>32</v>
      </c>
      <c r="B146">
        <v>1</v>
      </c>
    </row>
    <row r="147" spans="1:2" x14ac:dyDescent="0.25">
      <c r="A147" t="s">
        <v>329</v>
      </c>
      <c r="B147">
        <v>1</v>
      </c>
    </row>
    <row r="148" spans="1:2" x14ac:dyDescent="0.25">
      <c r="A148" t="s">
        <v>32</v>
      </c>
      <c r="B148">
        <v>1</v>
      </c>
    </row>
    <row r="149" spans="1:2" x14ac:dyDescent="0.25">
      <c r="A149" t="s">
        <v>717</v>
      </c>
      <c r="B149">
        <v>1</v>
      </c>
    </row>
    <row r="150" spans="1:2" x14ac:dyDescent="0.25">
      <c r="A150" t="s">
        <v>369</v>
      </c>
      <c r="B150">
        <v>1</v>
      </c>
    </row>
    <row r="151" spans="1:2" x14ac:dyDescent="0.25">
      <c r="A151" t="s">
        <v>717</v>
      </c>
      <c r="B151">
        <v>1</v>
      </c>
    </row>
    <row r="152" spans="1:2" x14ac:dyDescent="0.25">
      <c r="A152" t="s">
        <v>369</v>
      </c>
      <c r="B152">
        <v>1</v>
      </c>
    </row>
    <row r="153" spans="1:2" x14ac:dyDescent="0.25">
      <c r="A153" t="s">
        <v>329</v>
      </c>
      <c r="B153">
        <v>1</v>
      </c>
    </row>
    <row r="154" spans="1:2" x14ac:dyDescent="0.25">
      <c r="A154" t="s">
        <v>32</v>
      </c>
      <c r="B154">
        <v>1</v>
      </c>
    </row>
    <row r="155" spans="1:2" x14ac:dyDescent="0.25">
      <c r="A155" t="s">
        <v>717</v>
      </c>
      <c r="B155">
        <v>1</v>
      </c>
    </row>
    <row r="156" spans="1:2" x14ac:dyDescent="0.25">
      <c r="A156" t="s">
        <v>369</v>
      </c>
      <c r="B156">
        <v>1</v>
      </c>
    </row>
    <row r="157" spans="1:2" x14ac:dyDescent="0.25">
      <c r="A157" t="s">
        <v>329</v>
      </c>
      <c r="B157">
        <v>1</v>
      </c>
    </row>
    <row r="158" spans="1:2" x14ac:dyDescent="0.25">
      <c r="A158" t="s">
        <v>717</v>
      </c>
      <c r="B158">
        <v>1</v>
      </c>
    </row>
    <row r="159" spans="1:2" x14ac:dyDescent="0.25">
      <c r="A159" t="s">
        <v>369</v>
      </c>
      <c r="B159">
        <v>1</v>
      </c>
    </row>
    <row r="160" spans="1:2" x14ac:dyDescent="0.25">
      <c r="A160" t="s">
        <v>717</v>
      </c>
      <c r="B160">
        <v>1</v>
      </c>
    </row>
    <row r="161" spans="1:2" x14ac:dyDescent="0.25">
      <c r="A161" t="s">
        <v>329</v>
      </c>
      <c r="B161">
        <v>1</v>
      </c>
    </row>
    <row r="162" spans="1:2" x14ac:dyDescent="0.25">
      <c r="A162" t="s">
        <v>369</v>
      </c>
      <c r="B162">
        <v>1</v>
      </c>
    </row>
    <row r="163" spans="1:2" x14ac:dyDescent="0.25">
      <c r="A163" t="s">
        <v>329</v>
      </c>
      <c r="B163">
        <v>1</v>
      </c>
    </row>
    <row r="164" spans="1:2" x14ac:dyDescent="0.25">
      <c r="A164" t="s">
        <v>329</v>
      </c>
      <c r="B164">
        <v>1</v>
      </c>
    </row>
    <row r="165" spans="1:2" x14ac:dyDescent="0.25">
      <c r="A165" t="s">
        <v>32</v>
      </c>
      <c r="B165">
        <v>1</v>
      </c>
    </row>
    <row r="166" spans="1:2" x14ac:dyDescent="0.25">
      <c r="A166" t="s">
        <v>717</v>
      </c>
      <c r="B166">
        <v>1</v>
      </c>
    </row>
    <row r="167" spans="1:2" x14ac:dyDescent="0.25">
      <c r="A167" t="s">
        <v>32</v>
      </c>
      <c r="B167">
        <v>1</v>
      </c>
    </row>
    <row r="168" spans="1:2" x14ac:dyDescent="0.25">
      <c r="A168" t="s">
        <v>369</v>
      </c>
      <c r="B168">
        <v>1</v>
      </c>
    </row>
    <row r="169" spans="1:2" x14ac:dyDescent="0.25">
      <c r="A169" t="s">
        <v>329</v>
      </c>
      <c r="B169">
        <v>1</v>
      </c>
    </row>
    <row r="170" spans="1:2" x14ac:dyDescent="0.25">
      <c r="A170" t="s">
        <v>32</v>
      </c>
      <c r="B170">
        <v>1</v>
      </c>
    </row>
    <row r="171" spans="1:2" x14ac:dyDescent="0.25">
      <c r="A171" t="s">
        <v>369</v>
      </c>
      <c r="B171">
        <v>1</v>
      </c>
    </row>
    <row r="172" spans="1:2" x14ac:dyDescent="0.25">
      <c r="A172" t="s">
        <v>32</v>
      </c>
      <c r="B172">
        <v>1</v>
      </c>
    </row>
    <row r="173" spans="1:2" x14ac:dyDescent="0.25">
      <c r="A173" t="s">
        <v>717</v>
      </c>
      <c r="B173">
        <v>1</v>
      </c>
    </row>
    <row r="174" spans="1:2" x14ac:dyDescent="0.25">
      <c r="A174" t="s">
        <v>329</v>
      </c>
      <c r="B174">
        <v>1</v>
      </c>
    </row>
    <row r="175" spans="1:2" x14ac:dyDescent="0.25">
      <c r="A175" t="s">
        <v>329</v>
      </c>
      <c r="B175">
        <v>1</v>
      </c>
    </row>
    <row r="176" spans="1:2" x14ac:dyDescent="0.25">
      <c r="A176" t="s">
        <v>32</v>
      </c>
      <c r="B176">
        <v>1</v>
      </c>
    </row>
    <row r="177" spans="1:2" x14ac:dyDescent="0.25">
      <c r="A177" t="s">
        <v>329</v>
      </c>
      <c r="B177">
        <v>1</v>
      </c>
    </row>
    <row r="178" spans="1:2" x14ac:dyDescent="0.25">
      <c r="A178" t="s">
        <v>717</v>
      </c>
      <c r="B178">
        <v>1</v>
      </c>
    </row>
    <row r="179" spans="1:2" x14ac:dyDescent="0.25">
      <c r="A179" t="s">
        <v>369</v>
      </c>
      <c r="B179">
        <v>1</v>
      </c>
    </row>
    <row r="180" spans="1:2" x14ac:dyDescent="0.25">
      <c r="A180" t="s">
        <v>369</v>
      </c>
      <c r="B180">
        <v>1</v>
      </c>
    </row>
    <row r="181" spans="1:2" x14ac:dyDescent="0.25">
      <c r="A181" t="s">
        <v>329</v>
      </c>
      <c r="B181">
        <v>1</v>
      </c>
    </row>
    <row r="182" spans="1:2" x14ac:dyDescent="0.25">
      <c r="A182" t="s">
        <v>32</v>
      </c>
      <c r="B182">
        <v>1</v>
      </c>
    </row>
    <row r="183" spans="1:2" x14ac:dyDescent="0.25">
      <c r="A183" t="s">
        <v>329</v>
      </c>
      <c r="B183">
        <v>1</v>
      </c>
    </row>
    <row r="184" spans="1:2" x14ac:dyDescent="0.25">
      <c r="A184" t="s">
        <v>32</v>
      </c>
      <c r="B184">
        <v>1</v>
      </c>
    </row>
    <row r="185" spans="1:2" x14ac:dyDescent="0.25">
      <c r="A185" t="s">
        <v>717</v>
      </c>
      <c r="B185">
        <v>1</v>
      </c>
    </row>
    <row r="186" spans="1:2" x14ac:dyDescent="0.25">
      <c r="A186" t="s">
        <v>369</v>
      </c>
      <c r="B186">
        <v>1</v>
      </c>
    </row>
    <row r="187" spans="1:2" x14ac:dyDescent="0.25">
      <c r="A187" t="s">
        <v>329</v>
      </c>
      <c r="B187">
        <v>1</v>
      </c>
    </row>
    <row r="188" spans="1:2" x14ac:dyDescent="0.25">
      <c r="A188" t="s">
        <v>32</v>
      </c>
      <c r="B188">
        <v>1</v>
      </c>
    </row>
    <row r="189" spans="1:2" x14ac:dyDescent="0.25">
      <c r="A189" t="s">
        <v>329</v>
      </c>
      <c r="B189">
        <v>1</v>
      </c>
    </row>
    <row r="190" spans="1:2" x14ac:dyDescent="0.25">
      <c r="A190" t="s">
        <v>32</v>
      </c>
      <c r="B190">
        <v>1</v>
      </c>
    </row>
    <row r="191" spans="1:2" x14ac:dyDescent="0.25">
      <c r="A191" t="s">
        <v>717</v>
      </c>
      <c r="B191">
        <v>1</v>
      </c>
    </row>
    <row r="192" spans="1:2" x14ac:dyDescent="0.25">
      <c r="A192" t="s">
        <v>369</v>
      </c>
      <c r="B192">
        <v>1</v>
      </c>
    </row>
    <row r="193" spans="1:2" x14ac:dyDescent="0.25">
      <c r="A193" t="s">
        <v>329</v>
      </c>
      <c r="B193">
        <v>1</v>
      </c>
    </row>
    <row r="194" spans="1:2" x14ac:dyDescent="0.25">
      <c r="A194" t="s">
        <v>32</v>
      </c>
      <c r="B194">
        <v>1</v>
      </c>
    </row>
    <row r="195" spans="1:2" x14ac:dyDescent="0.25">
      <c r="A195" t="s">
        <v>717</v>
      </c>
      <c r="B195">
        <v>1</v>
      </c>
    </row>
    <row r="196" spans="1:2" x14ac:dyDescent="0.25">
      <c r="A196" t="s">
        <v>369</v>
      </c>
      <c r="B196">
        <v>1</v>
      </c>
    </row>
    <row r="197" spans="1:2" x14ac:dyDescent="0.25">
      <c r="A197" t="s">
        <v>329</v>
      </c>
      <c r="B197">
        <v>1</v>
      </c>
    </row>
    <row r="198" spans="1:2" x14ac:dyDescent="0.25">
      <c r="A198" t="s">
        <v>32</v>
      </c>
      <c r="B198">
        <v>1</v>
      </c>
    </row>
    <row r="199" spans="1:2" x14ac:dyDescent="0.25">
      <c r="A199" t="s">
        <v>329</v>
      </c>
      <c r="B199">
        <v>1</v>
      </c>
    </row>
    <row r="200" spans="1:2" x14ac:dyDescent="0.25">
      <c r="A200" t="s">
        <v>32</v>
      </c>
      <c r="B200">
        <v>1</v>
      </c>
    </row>
    <row r="201" spans="1:2" x14ac:dyDescent="0.25">
      <c r="A201" t="s">
        <v>717</v>
      </c>
      <c r="B201">
        <v>1</v>
      </c>
    </row>
    <row r="202" spans="1:2" x14ac:dyDescent="0.25">
      <c r="A202" t="s">
        <v>329</v>
      </c>
      <c r="B202">
        <v>1</v>
      </c>
    </row>
    <row r="203" spans="1:2" x14ac:dyDescent="0.25">
      <c r="A203" t="s">
        <v>717</v>
      </c>
      <c r="B203">
        <v>1</v>
      </c>
    </row>
    <row r="204" spans="1:2" x14ac:dyDescent="0.25">
      <c r="A204" t="s">
        <v>369</v>
      </c>
      <c r="B204">
        <v>1</v>
      </c>
    </row>
    <row r="205" spans="1:2" x14ac:dyDescent="0.25">
      <c r="A205" t="s">
        <v>329</v>
      </c>
      <c r="B205">
        <v>1</v>
      </c>
    </row>
    <row r="206" spans="1:2" x14ac:dyDescent="0.25">
      <c r="A206" t="s">
        <v>32</v>
      </c>
      <c r="B206">
        <v>1</v>
      </c>
    </row>
    <row r="207" spans="1:2" x14ac:dyDescent="0.25">
      <c r="A207" t="s">
        <v>329</v>
      </c>
      <c r="B207">
        <v>1</v>
      </c>
    </row>
    <row r="208" spans="1:2" x14ac:dyDescent="0.25">
      <c r="A208" t="s">
        <v>32</v>
      </c>
      <c r="B208">
        <v>1</v>
      </c>
    </row>
    <row r="209" spans="1:2" x14ac:dyDescent="0.25">
      <c r="A209" t="s">
        <v>717</v>
      </c>
      <c r="B209">
        <v>1</v>
      </c>
    </row>
    <row r="210" spans="1:2" x14ac:dyDescent="0.25">
      <c r="A210" t="s">
        <v>369</v>
      </c>
      <c r="B210">
        <v>1</v>
      </c>
    </row>
    <row r="211" spans="1:2" x14ac:dyDescent="0.25">
      <c r="A211" t="s">
        <v>329</v>
      </c>
      <c r="B211">
        <v>1</v>
      </c>
    </row>
    <row r="212" spans="1:2" x14ac:dyDescent="0.25">
      <c r="A212" t="s">
        <v>329</v>
      </c>
      <c r="B212">
        <v>1</v>
      </c>
    </row>
    <row r="213" spans="1:2" x14ac:dyDescent="0.25">
      <c r="A213" t="s">
        <v>32</v>
      </c>
      <c r="B213">
        <v>1</v>
      </c>
    </row>
    <row r="214" spans="1:2" x14ac:dyDescent="0.25">
      <c r="A214" t="s">
        <v>717</v>
      </c>
      <c r="B214">
        <v>1</v>
      </c>
    </row>
    <row r="215" spans="1:2" x14ac:dyDescent="0.25">
      <c r="A215" t="s">
        <v>32</v>
      </c>
      <c r="B215">
        <v>1</v>
      </c>
    </row>
    <row r="216" spans="1:2" x14ac:dyDescent="0.25">
      <c r="A216" t="s">
        <v>369</v>
      </c>
      <c r="B216">
        <v>1</v>
      </c>
    </row>
    <row r="217" spans="1:2" x14ac:dyDescent="0.25">
      <c r="A217" t="s">
        <v>329</v>
      </c>
      <c r="B217">
        <v>1</v>
      </c>
    </row>
    <row r="218" spans="1:2" x14ac:dyDescent="0.25">
      <c r="A218" t="s">
        <v>32</v>
      </c>
      <c r="B218">
        <v>1</v>
      </c>
    </row>
    <row r="219" spans="1:2" x14ac:dyDescent="0.25">
      <c r="A219" t="s">
        <v>717</v>
      </c>
      <c r="B219">
        <v>1</v>
      </c>
    </row>
    <row r="220" spans="1:2" x14ac:dyDescent="0.25">
      <c r="A220" t="s">
        <v>369</v>
      </c>
      <c r="B220">
        <v>1</v>
      </c>
    </row>
    <row r="221" spans="1:2" x14ac:dyDescent="0.25">
      <c r="A221" t="s">
        <v>329</v>
      </c>
      <c r="B221">
        <v>1</v>
      </c>
    </row>
    <row r="222" spans="1:2" x14ac:dyDescent="0.25">
      <c r="A222" t="s">
        <v>32</v>
      </c>
      <c r="B222">
        <v>1</v>
      </c>
    </row>
    <row r="223" spans="1:2" x14ac:dyDescent="0.25">
      <c r="A223" t="s">
        <v>329</v>
      </c>
      <c r="B223">
        <v>1</v>
      </c>
    </row>
    <row r="224" spans="1:2" x14ac:dyDescent="0.25">
      <c r="A224" t="s">
        <v>369</v>
      </c>
      <c r="B224">
        <v>1</v>
      </c>
    </row>
    <row r="225" spans="1:2" x14ac:dyDescent="0.25">
      <c r="A225" t="s">
        <v>329</v>
      </c>
      <c r="B225">
        <v>1</v>
      </c>
    </row>
    <row r="226" spans="1:2" x14ac:dyDescent="0.25">
      <c r="A226" t="s">
        <v>32</v>
      </c>
      <c r="B226">
        <v>1</v>
      </c>
    </row>
    <row r="227" spans="1:2" x14ac:dyDescent="0.25">
      <c r="A227" t="s">
        <v>32</v>
      </c>
      <c r="B227">
        <v>1</v>
      </c>
    </row>
    <row r="228" spans="1:2" x14ac:dyDescent="0.25">
      <c r="A228" t="s">
        <v>329</v>
      </c>
      <c r="B228">
        <v>1</v>
      </c>
    </row>
    <row r="229" spans="1:2" x14ac:dyDescent="0.25">
      <c r="A229" t="s">
        <v>32</v>
      </c>
      <c r="B229">
        <v>1</v>
      </c>
    </row>
    <row r="230" spans="1:2" x14ac:dyDescent="0.25">
      <c r="A230" t="s">
        <v>329</v>
      </c>
      <c r="B230">
        <v>1</v>
      </c>
    </row>
    <row r="231" spans="1:2" x14ac:dyDescent="0.25">
      <c r="A231" t="s">
        <v>32</v>
      </c>
      <c r="B231">
        <v>1</v>
      </c>
    </row>
    <row r="232" spans="1:2" x14ac:dyDescent="0.25">
      <c r="A232" t="s">
        <v>32</v>
      </c>
      <c r="B232">
        <v>1</v>
      </c>
    </row>
    <row r="233" spans="1:2" x14ac:dyDescent="0.25">
      <c r="A233" t="s">
        <v>329</v>
      </c>
      <c r="B233">
        <v>1</v>
      </c>
    </row>
    <row r="234" spans="1:2" x14ac:dyDescent="0.25">
      <c r="A234" t="s">
        <v>32</v>
      </c>
      <c r="B234">
        <v>1</v>
      </c>
    </row>
    <row r="235" spans="1:2" x14ac:dyDescent="0.25">
      <c r="A235" t="s">
        <v>717</v>
      </c>
      <c r="B235">
        <v>1</v>
      </c>
    </row>
    <row r="236" spans="1:2" x14ac:dyDescent="0.25">
      <c r="A236" t="s">
        <v>329</v>
      </c>
      <c r="B236">
        <v>1</v>
      </c>
    </row>
    <row r="237" spans="1:2" x14ac:dyDescent="0.25">
      <c r="A237" t="s">
        <v>329</v>
      </c>
      <c r="B237">
        <v>1</v>
      </c>
    </row>
    <row r="238" spans="1:2" x14ac:dyDescent="0.25">
      <c r="A238" t="s">
        <v>32</v>
      </c>
      <c r="B238">
        <v>1</v>
      </c>
    </row>
    <row r="239" spans="1:2" x14ac:dyDescent="0.25">
      <c r="A239" t="s">
        <v>717</v>
      </c>
      <c r="B239">
        <v>1</v>
      </c>
    </row>
    <row r="240" spans="1:2" x14ac:dyDescent="0.25">
      <c r="A240" t="s">
        <v>369</v>
      </c>
      <c r="B240">
        <v>1</v>
      </c>
    </row>
    <row r="241" spans="1:2" x14ac:dyDescent="0.25">
      <c r="A241" t="s">
        <v>329</v>
      </c>
      <c r="B241">
        <v>1</v>
      </c>
    </row>
    <row r="242" spans="1:2" x14ac:dyDescent="0.25">
      <c r="A242" t="s">
        <v>329</v>
      </c>
      <c r="B242">
        <v>1</v>
      </c>
    </row>
    <row r="243" spans="1:2" x14ac:dyDescent="0.25">
      <c r="A243" t="s">
        <v>32</v>
      </c>
      <c r="B243">
        <v>1</v>
      </c>
    </row>
    <row r="244" spans="1:2" x14ac:dyDescent="0.25">
      <c r="A244" t="s">
        <v>329</v>
      </c>
      <c r="B244">
        <v>1</v>
      </c>
    </row>
    <row r="245" spans="1:2" x14ac:dyDescent="0.25">
      <c r="A245" t="s">
        <v>369</v>
      </c>
      <c r="B245">
        <v>1</v>
      </c>
    </row>
    <row r="246" spans="1:2" x14ac:dyDescent="0.25">
      <c r="A246" t="s">
        <v>329</v>
      </c>
      <c r="B246">
        <v>1</v>
      </c>
    </row>
    <row r="247" spans="1:2" x14ac:dyDescent="0.25">
      <c r="A247" t="s">
        <v>717</v>
      </c>
      <c r="B247">
        <v>1</v>
      </c>
    </row>
    <row r="248" spans="1:2" x14ac:dyDescent="0.25">
      <c r="A248" t="s">
        <v>329</v>
      </c>
      <c r="B248">
        <v>1</v>
      </c>
    </row>
    <row r="249" spans="1:2" x14ac:dyDescent="0.25">
      <c r="A249" t="s">
        <v>32</v>
      </c>
      <c r="B249">
        <v>1</v>
      </c>
    </row>
    <row r="250" spans="1:2" x14ac:dyDescent="0.25">
      <c r="A250" t="s">
        <v>329</v>
      </c>
      <c r="B250">
        <v>1</v>
      </c>
    </row>
    <row r="251" spans="1:2" x14ac:dyDescent="0.25">
      <c r="A251" t="s">
        <v>329</v>
      </c>
      <c r="B251">
        <v>1</v>
      </c>
    </row>
    <row r="252" spans="1:2" x14ac:dyDescent="0.25">
      <c r="A252" t="s">
        <v>32</v>
      </c>
      <c r="B252">
        <v>1</v>
      </c>
    </row>
    <row r="253" spans="1:2" x14ac:dyDescent="0.25">
      <c r="A253" t="s">
        <v>329</v>
      </c>
      <c r="B253">
        <v>1</v>
      </c>
    </row>
    <row r="254" spans="1:2" x14ac:dyDescent="0.25">
      <c r="A254" t="s">
        <v>32</v>
      </c>
      <c r="B254">
        <v>1</v>
      </c>
    </row>
    <row r="255" spans="1:2" x14ac:dyDescent="0.25">
      <c r="A255" t="s">
        <v>329</v>
      </c>
      <c r="B255">
        <v>1</v>
      </c>
    </row>
    <row r="256" spans="1:2" x14ac:dyDescent="0.25">
      <c r="A256" t="s">
        <v>32</v>
      </c>
      <c r="B256">
        <v>1</v>
      </c>
    </row>
    <row r="257" spans="1:2" x14ac:dyDescent="0.25">
      <c r="A257" t="s">
        <v>717</v>
      </c>
      <c r="B257">
        <v>1</v>
      </c>
    </row>
    <row r="258" spans="1:2" x14ac:dyDescent="0.25">
      <c r="A258" t="s">
        <v>369</v>
      </c>
      <c r="B258">
        <v>1</v>
      </c>
    </row>
    <row r="259" spans="1:2" x14ac:dyDescent="0.25">
      <c r="A259" t="s">
        <v>32</v>
      </c>
      <c r="B259">
        <v>1</v>
      </c>
    </row>
    <row r="260" spans="1:2" x14ac:dyDescent="0.25">
      <c r="A260" t="s">
        <v>369</v>
      </c>
      <c r="B260">
        <v>1</v>
      </c>
    </row>
    <row r="261" spans="1:2" x14ac:dyDescent="0.25">
      <c r="A261" t="s">
        <v>32</v>
      </c>
      <c r="B261">
        <v>1</v>
      </c>
    </row>
    <row r="262" spans="1:2" x14ac:dyDescent="0.25">
      <c r="A262" t="s">
        <v>329</v>
      </c>
      <c r="B262">
        <v>1</v>
      </c>
    </row>
    <row r="263" spans="1:2" x14ac:dyDescent="0.25">
      <c r="A263" t="s">
        <v>329</v>
      </c>
      <c r="B263">
        <v>1</v>
      </c>
    </row>
    <row r="264" spans="1:2" x14ac:dyDescent="0.25">
      <c r="A264" t="s">
        <v>32</v>
      </c>
      <c r="B264">
        <v>1</v>
      </c>
    </row>
    <row r="265" spans="1:2" x14ac:dyDescent="0.25">
      <c r="A265" t="s">
        <v>717</v>
      </c>
      <c r="B265">
        <v>1</v>
      </c>
    </row>
    <row r="266" spans="1:2" x14ac:dyDescent="0.25">
      <c r="A266" t="s">
        <v>329</v>
      </c>
      <c r="B266">
        <v>1</v>
      </c>
    </row>
    <row r="267" spans="1:2" x14ac:dyDescent="0.25">
      <c r="A267" t="s">
        <v>32</v>
      </c>
      <c r="B267">
        <v>1</v>
      </c>
    </row>
    <row r="268" spans="1:2" x14ac:dyDescent="0.25">
      <c r="A268" t="s">
        <v>32</v>
      </c>
      <c r="B268">
        <v>1</v>
      </c>
    </row>
    <row r="269" spans="1:2" x14ac:dyDescent="0.25">
      <c r="A269" t="s">
        <v>717</v>
      </c>
      <c r="B269">
        <v>1</v>
      </c>
    </row>
    <row r="270" spans="1:2" x14ac:dyDescent="0.25">
      <c r="A270" t="s">
        <v>329</v>
      </c>
      <c r="B270">
        <v>1</v>
      </c>
    </row>
    <row r="271" spans="1:2" x14ac:dyDescent="0.25">
      <c r="A271" t="s">
        <v>32</v>
      </c>
      <c r="B271">
        <v>1</v>
      </c>
    </row>
    <row r="272" spans="1:2" x14ac:dyDescent="0.25">
      <c r="A272" t="s">
        <v>717</v>
      </c>
      <c r="B272">
        <v>1</v>
      </c>
    </row>
    <row r="273" spans="1:2" x14ac:dyDescent="0.25">
      <c r="A273" t="s">
        <v>369</v>
      </c>
      <c r="B273">
        <v>1</v>
      </c>
    </row>
    <row r="274" spans="1:2" x14ac:dyDescent="0.25">
      <c r="A274" t="s">
        <v>329</v>
      </c>
      <c r="B274">
        <v>1</v>
      </c>
    </row>
    <row r="275" spans="1:2" x14ac:dyDescent="0.25">
      <c r="A275" t="s">
        <v>32</v>
      </c>
      <c r="B275">
        <v>1</v>
      </c>
    </row>
    <row r="276" spans="1:2" x14ac:dyDescent="0.25">
      <c r="A276" t="s">
        <v>369</v>
      </c>
      <c r="B276">
        <v>1</v>
      </c>
    </row>
    <row r="277" spans="1:2" x14ac:dyDescent="0.25">
      <c r="A277" t="s">
        <v>329</v>
      </c>
      <c r="B277">
        <v>1</v>
      </c>
    </row>
    <row r="278" spans="1:2" x14ac:dyDescent="0.25">
      <c r="A278" t="s">
        <v>717</v>
      </c>
      <c r="B278">
        <v>1</v>
      </c>
    </row>
    <row r="279" spans="1:2" x14ac:dyDescent="0.25">
      <c r="A279" t="s">
        <v>329</v>
      </c>
      <c r="B279">
        <v>1</v>
      </c>
    </row>
    <row r="280" spans="1:2" x14ac:dyDescent="0.25">
      <c r="A280" t="s">
        <v>32</v>
      </c>
      <c r="B280">
        <v>1</v>
      </c>
    </row>
    <row r="281" spans="1:2" x14ac:dyDescent="0.25">
      <c r="A281" t="s">
        <v>369</v>
      </c>
      <c r="B281">
        <v>1</v>
      </c>
    </row>
    <row r="282" spans="1:2" x14ac:dyDescent="0.25">
      <c r="A282" t="s">
        <v>329</v>
      </c>
      <c r="B282">
        <v>1</v>
      </c>
    </row>
    <row r="283" spans="1:2" x14ac:dyDescent="0.25">
      <c r="A283" t="s">
        <v>329</v>
      </c>
      <c r="B283">
        <v>1</v>
      </c>
    </row>
    <row r="284" spans="1:2" x14ac:dyDescent="0.25">
      <c r="A284" t="s">
        <v>32</v>
      </c>
      <c r="B284">
        <v>1</v>
      </c>
    </row>
    <row r="285" spans="1:2" x14ac:dyDescent="0.25">
      <c r="A285" t="s">
        <v>717</v>
      </c>
      <c r="B285">
        <v>1</v>
      </c>
    </row>
    <row r="286" spans="1:2" x14ac:dyDescent="0.25">
      <c r="A286" t="s">
        <v>32</v>
      </c>
      <c r="B286">
        <v>1</v>
      </c>
    </row>
    <row r="287" spans="1:2" x14ac:dyDescent="0.25">
      <c r="A287" t="s">
        <v>329</v>
      </c>
      <c r="B287">
        <v>1</v>
      </c>
    </row>
    <row r="288" spans="1:2" x14ac:dyDescent="0.25">
      <c r="A288" t="s">
        <v>369</v>
      </c>
      <c r="B288">
        <v>1</v>
      </c>
    </row>
    <row r="289" spans="1:2" x14ac:dyDescent="0.25">
      <c r="A289" t="s">
        <v>329</v>
      </c>
      <c r="B289">
        <v>1</v>
      </c>
    </row>
    <row r="290" spans="1:2" x14ac:dyDescent="0.25">
      <c r="A290" t="s">
        <v>369</v>
      </c>
      <c r="B290">
        <v>1</v>
      </c>
    </row>
    <row r="291" spans="1:2" x14ac:dyDescent="0.25">
      <c r="A291" t="s">
        <v>717</v>
      </c>
      <c r="B291">
        <v>1</v>
      </c>
    </row>
    <row r="292" spans="1:2" x14ac:dyDescent="0.25">
      <c r="A292" t="s">
        <v>329</v>
      </c>
      <c r="B292">
        <v>1</v>
      </c>
    </row>
    <row r="293" spans="1:2" x14ac:dyDescent="0.25">
      <c r="A293" t="s">
        <v>717</v>
      </c>
      <c r="B293">
        <v>1</v>
      </c>
    </row>
    <row r="294" spans="1:2" x14ac:dyDescent="0.25">
      <c r="A294" t="s">
        <v>329</v>
      </c>
      <c r="B294">
        <v>1</v>
      </c>
    </row>
    <row r="295" spans="1:2" x14ac:dyDescent="0.25">
      <c r="A295" t="s">
        <v>32</v>
      </c>
      <c r="B295">
        <v>1</v>
      </c>
    </row>
    <row r="296" spans="1:2" x14ac:dyDescent="0.25">
      <c r="A296" t="s">
        <v>717</v>
      </c>
      <c r="B296">
        <v>1</v>
      </c>
    </row>
    <row r="297" spans="1:2" x14ac:dyDescent="0.25">
      <c r="A297" t="s">
        <v>369</v>
      </c>
      <c r="B297">
        <v>1</v>
      </c>
    </row>
    <row r="298" spans="1:2" x14ac:dyDescent="0.25">
      <c r="A298" t="s">
        <v>32</v>
      </c>
      <c r="B298">
        <v>1</v>
      </c>
    </row>
    <row r="299" spans="1:2" x14ac:dyDescent="0.25">
      <c r="A299" t="s">
        <v>329</v>
      </c>
      <c r="B299">
        <v>1</v>
      </c>
    </row>
    <row r="300" spans="1:2" x14ac:dyDescent="0.25">
      <c r="A300" t="s">
        <v>32</v>
      </c>
      <c r="B300">
        <v>1</v>
      </c>
    </row>
    <row r="301" spans="1:2" x14ac:dyDescent="0.25">
      <c r="A301" t="s">
        <v>329</v>
      </c>
      <c r="B301">
        <v>1</v>
      </c>
    </row>
    <row r="302" spans="1:2" x14ac:dyDescent="0.25">
      <c r="A302" t="s">
        <v>32</v>
      </c>
      <c r="B302">
        <v>1</v>
      </c>
    </row>
    <row r="303" spans="1:2" x14ac:dyDescent="0.25">
      <c r="A303" t="s">
        <v>329</v>
      </c>
      <c r="B303">
        <v>1</v>
      </c>
    </row>
    <row r="304" spans="1:2" x14ac:dyDescent="0.25">
      <c r="A304" t="s">
        <v>32</v>
      </c>
      <c r="B304">
        <v>1</v>
      </c>
    </row>
    <row r="305" spans="1:2" x14ac:dyDescent="0.25">
      <c r="A305" t="s">
        <v>717</v>
      </c>
      <c r="B305">
        <v>1</v>
      </c>
    </row>
    <row r="306" spans="1:2" x14ac:dyDescent="0.25">
      <c r="A306" t="s">
        <v>369</v>
      </c>
      <c r="B306">
        <v>1</v>
      </c>
    </row>
    <row r="307" spans="1:2" x14ac:dyDescent="0.25">
      <c r="A307" t="s">
        <v>329</v>
      </c>
      <c r="B307">
        <v>1</v>
      </c>
    </row>
    <row r="308" spans="1:2" x14ac:dyDescent="0.25">
      <c r="A308" t="s">
        <v>329</v>
      </c>
      <c r="B308">
        <v>1</v>
      </c>
    </row>
    <row r="309" spans="1:2" x14ac:dyDescent="0.25">
      <c r="A309" t="s">
        <v>717</v>
      </c>
      <c r="B309">
        <v>1</v>
      </c>
    </row>
    <row r="310" spans="1:2" x14ac:dyDescent="0.25">
      <c r="A310" t="s">
        <v>369</v>
      </c>
      <c r="B310">
        <v>1</v>
      </c>
    </row>
    <row r="311" spans="1:2" x14ac:dyDescent="0.25">
      <c r="A311" t="s">
        <v>329</v>
      </c>
      <c r="B311">
        <v>1</v>
      </c>
    </row>
    <row r="312" spans="1:2" x14ac:dyDescent="0.25">
      <c r="A312" t="s">
        <v>32</v>
      </c>
      <c r="B312">
        <v>1</v>
      </c>
    </row>
    <row r="313" spans="1:2" x14ac:dyDescent="0.25">
      <c r="A313" t="s">
        <v>717</v>
      </c>
      <c r="B313">
        <v>1</v>
      </c>
    </row>
    <row r="314" spans="1:2" x14ac:dyDescent="0.25">
      <c r="A314" t="s">
        <v>369</v>
      </c>
      <c r="B314">
        <v>1</v>
      </c>
    </row>
    <row r="315" spans="1:2" x14ac:dyDescent="0.25">
      <c r="A315" t="s">
        <v>329</v>
      </c>
      <c r="B315">
        <v>1</v>
      </c>
    </row>
    <row r="316" spans="1:2" x14ac:dyDescent="0.25">
      <c r="A316" t="s">
        <v>32</v>
      </c>
      <c r="B316">
        <v>1</v>
      </c>
    </row>
    <row r="317" spans="1:2" x14ac:dyDescent="0.25">
      <c r="A317" t="s">
        <v>717</v>
      </c>
      <c r="B317">
        <v>1</v>
      </c>
    </row>
    <row r="318" spans="1:2" x14ac:dyDescent="0.25">
      <c r="A318" t="s">
        <v>329</v>
      </c>
      <c r="B318">
        <v>1</v>
      </c>
    </row>
    <row r="319" spans="1:2" x14ac:dyDescent="0.25">
      <c r="A319" t="s">
        <v>32</v>
      </c>
      <c r="B319">
        <v>1</v>
      </c>
    </row>
    <row r="320" spans="1:2" x14ac:dyDescent="0.25">
      <c r="A320" t="s">
        <v>717</v>
      </c>
      <c r="B320">
        <v>1</v>
      </c>
    </row>
    <row r="321" spans="1:2" x14ac:dyDescent="0.25">
      <c r="A321" t="s">
        <v>369</v>
      </c>
      <c r="B321">
        <v>1</v>
      </c>
    </row>
    <row r="322" spans="1:2" x14ac:dyDescent="0.25">
      <c r="A322" t="s">
        <v>329</v>
      </c>
      <c r="B322">
        <v>1</v>
      </c>
    </row>
    <row r="323" spans="1:2" x14ac:dyDescent="0.25">
      <c r="A323" t="s">
        <v>32</v>
      </c>
      <c r="B323">
        <v>1</v>
      </c>
    </row>
    <row r="324" spans="1:2" x14ac:dyDescent="0.25">
      <c r="A324" t="s">
        <v>717</v>
      </c>
      <c r="B324">
        <v>1</v>
      </c>
    </row>
    <row r="325" spans="1:2" x14ac:dyDescent="0.25">
      <c r="A325" t="s">
        <v>369</v>
      </c>
      <c r="B325">
        <v>1</v>
      </c>
    </row>
    <row r="326" spans="1:2" x14ac:dyDescent="0.25">
      <c r="A326" t="s">
        <v>329</v>
      </c>
      <c r="B326">
        <v>1</v>
      </c>
    </row>
    <row r="327" spans="1:2" x14ac:dyDescent="0.25">
      <c r="A327" t="s">
        <v>32</v>
      </c>
      <c r="B327">
        <v>1</v>
      </c>
    </row>
    <row r="328" spans="1:2" x14ac:dyDescent="0.25">
      <c r="A328" t="s">
        <v>329</v>
      </c>
      <c r="B328">
        <v>1</v>
      </c>
    </row>
    <row r="329" spans="1:2" x14ac:dyDescent="0.25">
      <c r="A329" t="s">
        <v>32</v>
      </c>
      <c r="B329">
        <v>1</v>
      </c>
    </row>
    <row r="330" spans="1:2" x14ac:dyDescent="0.25">
      <c r="A330" t="s">
        <v>717</v>
      </c>
      <c r="B330">
        <v>1</v>
      </c>
    </row>
    <row r="331" spans="1:2" x14ac:dyDescent="0.25">
      <c r="A331" t="s">
        <v>369</v>
      </c>
      <c r="B331">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963C9-6B93-4CCC-8E47-2C291AD23860}">
  <dimension ref="A1:U309"/>
  <sheetViews>
    <sheetView zoomScaleNormal="100" workbookViewId="0">
      <selection activeCell="G1" sqref="G1"/>
    </sheetView>
  </sheetViews>
  <sheetFormatPr defaultRowHeight="12.5" x14ac:dyDescent="0.25"/>
  <cols>
    <col min="2" max="2" width="9.81640625" bestFit="1" customWidth="1"/>
    <col min="4" max="4" width="11" bestFit="1" customWidth="1"/>
    <col min="5" max="6" width="31.36328125" bestFit="1" customWidth="1"/>
    <col min="7" max="7" width="10.1796875" customWidth="1"/>
    <col min="8" max="8" width="11.36328125" customWidth="1"/>
    <col min="9" max="10" width="10" customWidth="1"/>
    <col min="11" max="11" width="11" bestFit="1" customWidth="1"/>
    <col min="12" max="12" width="31.36328125" bestFit="1" customWidth="1"/>
    <col min="13" max="15" width="31.36328125" customWidth="1"/>
    <col min="16" max="16" width="31.36328125" bestFit="1" customWidth="1"/>
  </cols>
  <sheetData>
    <row r="1" spans="1:10" ht="13" x14ac:dyDescent="0.3">
      <c r="A1" s="5"/>
      <c r="B1" s="5"/>
      <c r="D1" s="7" t="s">
        <v>5</v>
      </c>
      <c r="E1" s="7" t="s">
        <v>6</v>
      </c>
      <c r="F1" s="7" t="s">
        <v>7</v>
      </c>
      <c r="G1" s="22" t="s">
        <v>329</v>
      </c>
      <c r="H1" s="22" t="s">
        <v>32</v>
      </c>
      <c r="I1" s="22" t="s">
        <v>717</v>
      </c>
      <c r="J1" s="22" t="s">
        <v>369</v>
      </c>
    </row>
    <row r="2" spans="1:10" x14ac:dyDescent="0.25">
      <c r="D2" s="8" t="s">
        <v>32</v>
      </c>
      <c r="E2" s="8" t="s">
        <v>715</v>
      </c>
      <c r="F2" s="8" t="s">
        <v>32</v>
      </c>
      <c r="G2" s="5">
        <f>IF(OR(ISNUMBER(SEARCH("jazzcash", D2)), ISNUMBER(SEARCH("jazzcash", E2)), ISNUMBER(SEARCH("jazzcash", F2))), 1, 0)</f>
        <v>1</v>
      </c>
      <c r="H2">
        <f>IF(OR(ISNUMBER(SEARCH("easypaisa", D2)), ISNUMBER(SEARCH("easypaisa", E2)), ISNUMBER(SEARCH("easypaisa", F2))), 1, 0)</f>
        <v>1</v>
      </c>
      <c r="I2">
        <f>IF(OR(ISNUMBER(SEARCH("sadapay", D2)), ISNUMBER(SEARCH("sadapay", E2)), ISNUMBER(SEARCH("sadapay", F2))), 1, 0)</f>
        <v>1</v>
      </c>
      <c r="J2">
        <f>IF(OR(ISNUMBER(SEARCH("nayapay", D2)), ISNUMBER(SEARCH("nayapay", E2)), ISNUMBER(SEARCH("nayapay", F2))), 1, 0)</f>
        <v>0</v>
      </c>
    </row>
    <row r="3" spans="1:10" x14ac:dyDescent="0.25">
      <c r="D3" s="9" t="s">
        <v>32</v>
      </c>
      <c r="E3" s="9" t="s">
        <v>32</v>
      </c>
      <c r="F3" s="9" t="s">
        <v>32</v>
      </c>
      <c r="G3" s="5">
        <f t="shared" ref="G3:G66" si="0">IF(OR(ISNUMBER(SEARCH("jazzcash", D3)), ISNUMBER(SEARCH("jazzcash", E3)), ISNUMBER(SEARCH("jazzcash", F3))), 1, 0)</f>
        <v>0</v>
      </c>
      <c r="H3">
        <f t="shared" ref="H3:H66" si="1">IF(OR(ISNUMBER(SEARCH("easypaisa", D3)), ISNUMBER(SEARCH("easypaisa", E3)), ISNUMBER(SEARCH("easypaisa", F3))), 1, 0)</f>
        <v>1</v>
      </c>
      <c r="I3">
        <f t="shared" ref="I3:I66" si="2">IF(OR(ISNUMBER(SEARCH("sadapay", D3)), ISNUMBER(SEARCH("sadapay", E3)), ISNUMBER(SEARCH("sadapay", F3))), 1, 0)</f>
        <v>0</v>
      </c>
      <c r="J3">
        <f t="shared" ref="J3:J66" si="3">IF(OR(ISNUMBER(SEARCH("nayapay", D3)), ISNUMBER(SEARCH("nayapay", E3)), ISNUMBER(SEARCH("nayapay", F3))), 1, 0)</f>
        <v>0</v>
      </c>
    </row>
    <row r="4" spans="1:10" x14ac:dyDescent="0.25">
      <c r="D4" s="8" t="s">
        <v>717</v>
      </c>
      <c r="E4" s="8" t="s">
        <v>717</v>
      </c>
      <c r="F4" s="8" t="s">
        <v>717</v>
      </c>
      <c r="G4" s="5">
        <f t="shared" si="0"/>
        <v>0</v>
      </c>
      <c r="H4">
        <f t="shared" si="1"/>
        <v>0</v>
      </c>
      <c r="I4">
        <f t="shared" si="2"/>
        <v>1</v>
      </c>
      <c r="J4">
        <f t="shared" si="3"/>
        <v>0</v>
      </c>
    </row>
    <row r="5" spans="1:10" x14ac:dyDescent="0.25">
      <c r="D5" s="9" t="s">
        <v>32</v>
      </c>
      <c r="E5" s="9" t="s">
        <v>719</v>
      </c>
      <c r="F5" s="9" t="s">
        <v>32</v>
      </c>
      <c r="G5" s="5">
        <f t="shared" si="0"/>
        <v>1</v>
      </c>
      <c r="H5">
        <f t="shared" si="1"/>
        <v>1</v>
      </c>
      <c r="I5">
        <f t="shared" si="2"/>
        <v>0</v>
      </c>
      <c r="J5">
        <f t="shared" si="3"/>
        <v>1</v>
      </c>
    </row>
    <row r="6" spans="1:10" x14ac:dyDescent="0.25">
      <c r="D6" s="8" t="s">
        <v>32</v>
      </c>
      <c r="E6" s="8" t="s">
        <v>721</v>
      </c>
      <c r="F6" s="8" t="s">
        <v>32</v>
      </c>
      <c r="G6" s="5">
        <f t="shared" si="0"/>
        <v>1</v>
      </c>
      <c r="H6">
        <f t="shared" si="1"/>
        <v>1</v>
      </c>
      <c r="I6">
        <f t="shared" si="2"/>
        <v>1</v>
      </c>
      <c r="J6">
        <f t="shared" si="3"/>
        <v>1</v>
      </c>
    </row>
    <row r="7" spans="1:10" x14ac:dyDescent="0.25">
      <c r="D7" s="9" t="s">
        <v>329</v>
      </c>
      <c r="E7" s="9" t="s">
        <v>32</v>
      </c>
      <c r="F7" s="9" t="s">
        <v>32</v>
      </c>
      <c r="G7" s="5">
        <f t="shared" si="0"/>
        <v>1</v>
      </c>
      <c r="H7">
        <f t="shared" si="1"/>
        <v>1</v>
      </c>
      <c r="I7">
        <f t="shared" si="2"/>
        <v>0</v>
      </c>
      <c r="J7">
        <f t="shared" si="3"/>
        <v>0</v>
      </c>
    </row>
    <row r="8" spans="1:10" x14ac:dyDescent="0.25">
      <c r="D8" s="8" t="s">
        <v>32</v>
      </c>
      <c r="E8" s="8" t="s">
        <v>32</v>
      </c>
      <c r="F8" s="8" t="s">
        <v>723</v>
      </c>
      <c r="G8" s="5">
        <f t="shared" si="0"/>
        <v>1</v>
      </c>
      <c r="H8">
        <f t="shared" si="1"/>
        <v>1</v>
      </c>
      <c r="I8">
        <f t="shared" si="2"/>
        <v>0</v>
      </c>
      <c r="J8">
        <f t="shared" si="3"/>
        <v>0</v>
      </c>
    </row>
    <row r="9" spans="1:10" x14ac:dyDescent="0.25">
      <c r="D9" s="9" t="s">
        <v>369</v>
      </c>
      <c r="E9" s="9" t="s">
        <v>724</v>
      </c>
      <c r="F9" s="9" t="s">
        <v>725</v>
      </c>
      <c r="G9" s="5">
        <f t="shared" si="0"/>
        <v>1</v>
      </c>
      <c r="H9">
        <f t="shared" si="1"/>
        <v>0</v>
      </c>
      <c r="I9">
        <f t="shared" si="2"/>
        <v>1</v>
      </c>
      <c r="J9">
        <f t="shared" si="3"/>
        <v>1</v>
      </c>
    </row>
    <row r="10" spans="1:10" x14ac:dyDescent="0.25">
      <c r="D10" s="8" t="s">
        <v>329</v>
      </c>
      <c r="E10" s="8" t="s">
        <v>726</v>
      </c>
      <c r="F10" s="8" t="s">
        <v>329</v>
      </c>
      <c r="G10" s="5">
        <f t="shared" si="0"/>
        <v>1</v>
      </c>
      <c r="H10">
        <f t="shared" si="1"/>
        <v>0</v>
      </c>
      <c r="I10">
        <f t="shared" si="2"/>
        <v>1</v>
      </c>
      <c r="J10">
        <f t="shared" si="3"/>
        <v>0</v>
      </c>
    </row>
    <row r="11" spans="1:10" x14ac:dyDescent="0.25">
      <c r="D11" s="9" t="s">
        <v>717</v>
      </c>
      <c r="E11" s="9" t="s">
        <v>717</v>
      </c>
      <c r="F11" s="9" t="s">
        <v>715</v>
      </c>
      <c r="G11" s="5">
        <f t="shared" si="0"/>
        <v>1</v>
      </c>
      <c r="H11">
        <f t="shared" si="1"/>
        <v>1</v>
      </c>
      <c r="I11">
        <f t="shared" si="2"/>
        <v>1</v>
      </c>
      <c r="J11">
        <f t="shared" si="3"/>
        <v>0</v>
      </c>
    </row>
    <row r="12" spans="1:10" x14ac:dyDescent="0.25">
      <c r="D12" s="8" t="s">
        <v>329</v>
      </c>
      <c r="E12" s="8" t="s">
        <v>725</v>
      </c>
      <c r="F12" s="8" t="s">
        <v>725</v>
      </c>
      <c r="G12" s="5">
        <f t="shared" si="0"/>
        <v>1</v>
      </c>
      <c r="H12">
        <f t="shared" si="1"/>
        <v>0</v>
      </c>
      <c r="I12">
        <f t="shared" si="2"/>
        <v>0</v>
      </c>
      <c r="J12">
        <f t="shared" si="3"/>
        <v>1</v>
      </c>
    </row>
    <row r="13" spans="1:10" x14ac:dyDescent="0.25">
      <c r="D13" s="9" t="s">
        <v>329</v>
      </c>
      <c r="E13" s="9" t="s">
        <v>721</v>
      </c>
      <c r="F13" s="9" t="s">
        <v>32</v>
      </c>
      <c r="G13" s="5">
        <f t="shared" si="0"/>
        <v>1</v>
      </c>
      <c r="H13">
        <f t="shared" si="1"/>
        <v>1</v>
      </c>
      <c r="I13">
        <f t="shared" si="2"/>
        <v>1</v>
      </c>
      <c r="J13">
        <f t="shared" si="3"/>
        <v>1</v>
      </c>
    </row>
    <row r="14" spans="1:10" x14ac:dyDescent="0.25">
      <c r="D14" s="8" t="s">
        <v>32</v>
      </c>
      <c r="E14" s="8" t="s">
        <v>727</v>
      </c>
      <c r="F14" s="8" t="s">
        <v>727</v>
      </c>
      <c r="G14" s="5">
        <f t="shared" si="0"/>
        <v>0</v>
      </c>
      <c r="H14">
        <f t="shared" si="1"/>
        <v>1</v>
      </c>
      <c r="I14">
        <f t="shared" si="2"/>
        <v>0</v>
      </c>
      <c r="J14">
        <f t="shared" si="3"/>
        <v>1</v>
      </c>
    </row>
    <row r="15" spans="1:10" x14ac:dyDescent="0.25">
      <c r="D15" s="9" t="s">
        <v>329</v>
      </c>
      <c r="E15" s="9" t="s">
        <v>715</v>
      </c>
      <c r="F15" s="9" t="s">
        <v>32</v>
      </c>
      <c r="G15" s="5">
        <f t="shared" si="0"/>
        <v>1</v>
      </c>
      <c r="H15">
        <f t="shared" si="1"/>
        <v>1</v>
      </c>
      <c r="I15">
        <f t="shared" si="2"/>
        <v>1</v>
      </c>
      <c r="J15">
        <f t="shared" si="3"/>
        <v>0</v>
      </c>
    </row>
    <row r="16" spans="1:10" x14ac:dyDescent="0.25">
      <c r="D16" s="8" t="s">
        <v>329</v>
      </c>
      <c r="E16" s="8" t="s">
        <v>723</v>
      </c>
      <c r="F16" s="8" t="s">
        <v>723</v>
      </c>
      <c r="G16" s="5">
        <f t="shared" si="0"/>
        <v>1</v>
      </c>
      <c r="H16">
        <f t="shared" si="1"/>
        <v>1</v>
      </c>
      <c r="I16">
        <f t="shared" si="2"/>
        <v>0</v>
      </c>
      <c r="J16">
        <f t="shared" si="3"/>
        <v>0</v>
      </c>
    </row>
    <row r="17" spans="4:10" x14ac:dyDescent="0.25">
      <c r="D17" s="9" t="s">
        <v>32</v>
      </c>
      <c r="E17" s="9" t="s">
        <v>721</v>
      </c>
      <c r="F17" s="9" t="s">
        <v>715</v>
      </c>
      <c r="G17" s="5">
        <f t="shared" si="0"/>
        <v>1</v>
      </c>
      <c r="H17">
        <f t="shared" si="1"/>
        <v>1</v>
      </c>
      <c r="I17">
        <f t="shared" si="2"/>
        <v>1</v>
      </c>
      <c r="J17">
        <f t="shared" si="3"/>
        <v>1</v>
      </c>
    </row>
    <row r="18" spans="4:10" x14ac:dyDescent="0.25">
      <c r="D18" s="8" t="s">
        <v>329</v>
      </c>
      <c r="E18" s="8" t="s">
        <v>721</v>
      </c>
      <c r="F18" s="8" t="s">
        <v>719</v>
      </c>
      <c r="G18" s="5">
        <f t="shared" si="0"/>
        <v>1</v>
      </c>
      <c r="H18">
        <f t="shared" si="1"/>
        <v>1</v>
      </c>
      <c r="I18">
        <f t="shared" si="2"/>
        <v>1</v>
      </c>
      <c r="J18">
        <f t="shared" si="3"/>
        <v>1</v>
      </c>
    </row>
    <row r="19" spans="4:10" x14ac:dyDescent="0.25">
      <c r="D19" s="9" t="s">
        <v>32</v>
      </c>
      <c r="E19" s="9" t="s">
        <v>728</v>
      </c>
      <c r="F19" s="9" t="s">
        <v>32</v>
      </c>
      <c r="G19" s="5">
        <f t="shared" si="0"/>
        <v>0</v>
      </c>
      <c r="H19">
        <f t="shared" si="1"/>
        <v>1</v>
      </c>
      <c r="I19">
        <f t="shared" si="2"/>
        <v>1</v>
      </c>
      <c r="J19">
        <f t="shared" si="3"/>
        <v>0</v>
      </c>
    </row>
    <row r="20" spans="4:10" x14ac:dyDescent="0.25">
      <c r="D20" s="8" t="s">
        <v>329</v>
      </c>
      <c r="E20" s="8" t="s">
        <v>721</v>
      </c>
      <c r="F20" s="8" t="s">
        <v>721</v>
      </c>
      <c r="G20" s="5">
        <f t="shared" si="0"/>
        <v>1</v>
      </c>
      <c r="H20">
        <f t="shared" si="1"/>
        <v>1</v>
      </c>
      <c r="I20">
        <f t="shared" si="2"/>
        <v>1</v>
      </c>
      <c r="J20">
        <f t="shared" si="3"/>
        <v>1</v>
      </c>
    </row>
    <row r="21" spans="4:10" x14ac:dyDescent="0.25">
      <c r="D21" s="9" t="s">
        <v>329</v>
      </c>
      <c r="E21" s="9" t="s">
        <v>329</v>
      </c>
      <c r="F21" s="9" t="s">
        <v>329</v>
      </c>
      <c r="G21" s="5">
        <f t="shared" si="0"/>
        <v>1</v>
      </c>
      <c r="H21">
        <f t="shared" si="1"/>
        <v>0</v>
      </c>
      <c r="I21">
        <f t="shared" si="2"/>
        <v>0</v>
      </c>
      <c r="J21">
        <f t="shared" si="3"/>
        <v>0</v>
      </c>
    </row>
    <row r="22" spans="4:10" x14ac:dyDescent="0.25">
      <c r="D22" s="8" t="s">
        <v>329</v>
      </c>
      <c r="E22" s="8" t="s">
        <v>724</v>
      </c>
      <c r="F22" s="8" t="s">
        <v>724</v>
      </c>
      <c r="G22" s="5">
        <f t="shared" si="0"/>
        <v>1</v>
      </c>
      <c r="H22">
        <f t="shared" si="1"/>
        <v>0</v>
      </c>
      <c r="I22">
        <f t="shared" si="2"/>
        <v>1</v>
      </c>
      <c r="J22">
        <f t="shared" si="3"/>
        <v>1</v>
      </c>
    </row>
    <row r="23" spans="4:10" x14ac:dyDescent="0.25">
      <c r="D23" s="9" t="s">
        <v>32</v>
      </c>
      <c r="E23" s="9" t="s">
        <v>329</v>
      </c>
      <c r="F23" s="9" t="s">
        <v>329</v>
      </c>
      <c r="G23" s="5">
        <f t="shared" si="0"/>
        <v>1</v>
      </c>
      <c r="H23">
        <f t="shared" si="1"/>
        <v>1</v>
      </c>
      <c r="I23">
        <f t="shared" si="2"/>
        <v>0</v>
      </c>
      <c r="J23">
        <f t="shared" si="3"/>
        <v>0</v>
      </c>
    </row>
    <row r="24" spans="4:10" x14ac:dyDescent="0.25">
      <c r="D24" s="8" t="s">
        <v>329</v>
      </c>
      <c r="E24" s="8" t="s">
        <v>719</v>
      </c>
      <c r="F24" s="8" t="s">
        <v>725</v>
      </c>
      <c r="G24" s="5">
        <f t="shared" si="0"/>
        <v>1</v>
      </c>
      <c r="H24">
        <f t="shared" si="1"/>
        <v>1</v>
      </c>
      <c r="I24">
        <f t="shared" si="2"/>
        <v>0</v>
      </c>
      <c r="J24">
        <f t="shared" si="3"/>
        <v>1</v>
      </c>
    </row>
    <row r="25" spans="4:10" x14ac:dyDescent="0.25">
      <c r="D25" s="9" t="s">
        <v>32</v>
      </c>
      <c r="E25" s="9" t="s">
        <v>32</v>
      </c>
      <c r="F25" s="9" t="s">
        <v>32</v>
      </c>
      <c r="G25" s="5">
        <f t="shared" si="0"/>
        <v>0</v>
      </c>
      <c r="H25">
        <f t="shared" si="1"/>
        <v>1</v>
      </c>
      <c r="I25">
        <f t="shared" si="2"/>
        <v>0</v>
      </c>
      <c r="J25">
        <f t="shared" si="3"/>
        <v>0</v>
      </c>
    </row>
    <row r="26" spans="4:10" x14ac:dyDescent="0.25">
      <c r="D26" s="8" t="s">
        <v>329</v>
      </c>
      <c r="E26" s="8" t="s">
        <v>329</v>
      </c>
      <c r="F26" s="8" t="s">
        <v>329</v>
      </c>
      <c r="G26" s="5">
        <f t="shared" si="0"/>
        <v>1</v>
      </c>
      <c r="H26">
        <f t="shared" si="1"/>
        <v>0</v>
      </c>
      <c r="I26">
        <f t="shared" si="2"/>
        <v>0</v>
      </c>
      <c r="J26">
        <f t="shared" si="3"/>
        <v>0</v>
      </c>
    </row>
    <row r="27" spans="4:10" x14ac:dyDescent="0.25">
      <c r="D27" s="9" t="s">
        <v>329</v>
      </c>
      <c r="E27" s="9" t="s">
        <v>329</v>
      </c>
      <c r="F27" s="9" t="s">
        <v>329</v>
      </c>
      <c r="G27" s="5">
        <f t="shared" si="0"/>
        <v>1</v>
      </c>
      <c r="H27">
        <f t="shared" si="1"/>
        <v>0</v>
      </c>
      <c r="I27">
        <f t="shared" si="2"/>
        <v>0</v>
      </c>
      <c r="J27">
        <f t="shared" si="3"/>
        <v>0</v>
      </c>
    </row>
    <row r="28" spans="4:10" x14ac:dyDescent="0.25">
      <c r="D28" s="8" t="s">
        <v>329</v>
      </c>
      <c r="E28" s="8" t="s">
        <v>715</v>
      </c>
      <c r="F28" s="8" t="s">
        <v>32</v>
      </c>
      <c r="G28" s="5">
        <f t="shared" si="0"/>
        <v>1</v>
      </c>
      <c r="H28">
        <f t="shared" si="1"/>
        <v>1</v>
      </c>
      <c r="I28">
        <f t="shared" si="2"/>
        <v>1</v>
      </c>
      <c r="J28">
        <f t="shared" si="3"/>
        <v>0</v>
      </c>
    </row>
    <row r="29" spans="4:10" x14ac:dyDescent="0.25">
      <c r="D29" s="9" t="s">
        <v>32</v>
      </c>
      <c r="E29" s="9" t="s">
        <v>727</v>
      </c>
      <c r="F29" s="9" t="s">
        <v>32</v>
      </c>
      <c r="G29" s="5">
        <f t="shared" si="0"/>
        <v>0</v>
      </c>
      <c r="H29">
        <f t="shared" si="1"/>
        <v>1</v>
      </c>
      <c r="I29">
        <f t="shared" si="2"/>
        <v>0</v>
      </c>
      <c r="J29">
        <f t="shared" si="3"/>
        <v>1</v>
      </c>
    </row>
    <row r="30" spans="4:10" x14ac:dyDescent="0.25">
      <c r="D30" s="8" t="s">
        <v>329</v>
      </c>
      <c r="E30" s="8" t="s">
        <v>329</v>
      </c>
      <c r="F30" s="8" t="s">
        <v>329</v>
      </c>
      <c r="G30" s="5">
        <f t="shared" si="0"/>
        <v>1</v>
      </c>
      <c r="H30">
        <f t="shared" si="1"/>
        <v>0</v>
      </c>
      <c r="I30">
        <f t="shared" si="2"/>
        <v>0</v>
      </c>
      <c r="J30">
        <f t="shared" si="3"/>
        <v>0</v>
      </c>
    </row>
    <row r="31" spans="4:10" x14ac:dyDescent="0.25">
      <c r="D31" s="9" t="s">
        <v>329</v>
      </c>
      <c r="E31" s="9" t="s">
        <v>721</v>
      </c>
      <c r="F31" s="9" t="s">
        <v>717</v>
      </c>
      <c r="G31" s="5">
        <f t="shared" si="0"/>
        <v>1</v>
      </c>
      <c r="H31">
        <f t="shared" si="1"/>
        <v>1</v>
      </c>
      <c r="I31">
        <f t="shared" si="2"/>
        <v>1</v>
      </c>
      <c r="J31">
        <f t="shared" si="3"/>
        <v>1</v>
      </c>
    </row>
    <row r="32" spans="4:10" x14ac:dyDescent="0.25">
      <c r="D32" s="8" t="s">
        <v>329</v>
      </c>
      <c r="E32" s="8" t="s">
        <v>329</v>
      </c>
      <c r="F32" s="8" t="s">
        <v>329</v>
      </c>
      <c r="G32" s="5">
        <f t="shared" si="0"/>
        <v>1</v>
      </c>
      <c r="H32">
        <f t="shared" si="1"/>
        <v>0</v>
      </c>
      <c r="I32">
        <f t="shared" si="2"/>
        <v>0</v>
      </c>
      <c r="J32">
        <f t="shared" si="3"/>
        <v>0</v>
      </c>
    </row>
    <row r="33" spans="4:10" x14ac:dyDescent="0.25">
      <c r="D33" s="9" t="s">
        <v>717</v>
      </c>
      <c r="E33" s="9" t="s">
        <v>717</v>
      </c>
      <c r="F33" s="9" t="s">
        <v>717</v>
      </c>
      <c r="G33" s="5">
        <f t="shared" si="0"/>
        <v>0</v>
      </c>
      <c r="H33">
        <f t="shared" si="1"/>
        <v>0</v>
      </c>
      <c r="I33">
        <f t="shared" si="2"/>
        <v>1</v>
      </c>
      <c r="J33">
        <f t="shared" si="3"/>
        <v>0</v>
      </c>
    </row>
    <row r="34" spans="4:10" x14ac:dyDescent="0.25">
      <c r="D34" s="8" t="s">
        <v>32</v>
      </c>
      <c r="E34" s="8" t="s">
        <v>728</v>
      </c>
      <c r="F34" s="8" t="s">
        <v>717</v>
      </c>
      <c r="G34" s="5">
        <f t="shared" si="0"/>
        <v>0</v>
      </c>
      <c r="H34">
        <f t="shared" si="1"/>
        <v>1</v>
      </c>
      <c r="I34">
        <f t="shared" si="2"/>
        <v>1</v>
      </c>
      <c r="J34">
        <f t="shared" si="3"/>
        <v>0</v>
      </c>
    </row>
    <row r="35" spans="4:10" x14ac:dyDescent="0.25">
      <c r="D35" s="9" t="s">
        <v>329</v>
      </c>
      <c r="E35" s="9" t="s">
        <v>329</v>
      </c>
      <c r="F35" s="9" t="s">
        <v>329</v>
      </c>
      <c r="G35" s="5">
        <f t="shared" si="0"/>
        <v>1</v>
      </c>
      <c r="H35">
        <f t="shared" si="1"/>
        <v>0</v>
      </c>
      <c r="I35">
        <f t="shared" si="2"/>
        <v>0</v>
      </c>
      <c r="J35">
        <f t="shared" si="3"/>
        <v>0</v>
      </c>
    </row>
    <row r="36" spans="4:10" x14ac:dyDescent="0.25">
      <c r="D36" s="8" t="s">
        <v>32</v>
      </c>
      <c r="E36" s="8" t="s">
        <v>723</v>
      </c>
      <c r="F36" s="8" t="s">
        <v>723</v>
      </c>
      <c r="G36" s="5">
        <f t="shared" si="0"/>
        <v>1</v>
      </c>
      <c r="H36">
        <f t="shared" si="1"/>
        <v>1</v>
      </c>
      <c r="I36">
        <f t="shared" si="2"/>
        <v>0</v>
      </c>
      <c r="J36">
        <f t="shared" si="3"/>
        <v>0</v>
      </c>
    </row>
    <row r="37" spans="4:10" x14ac:dyDescent="0.25">
      <c r="D37" s="9" t="s">
        <v>329</v>
      </c>
      <c r="E37" s="9" t="s">
        <v>725</v>
      </c>
      <c r="F37" s="9" t="s">
        <v>725</v>
      </c>
      <c r="G37" s="5">
        <f t="shared" si="0"/>
        <v>1</v>
      </c>
      <c r="H37">
        <f t="shared" si="1"/>
        <v>0</v>
      </c>
      <c r="I37">
        <f t="shared" si="2"/>
        <v>0</v>
      </c>
      <c r="J37">
        <f t="shared" si="3"/>
        <v>1</v>
      </c>
    </row>
    <row r="38" spans="4:10" x14ac:dyDescent="0.25">
      <c r="D38" s="8" t="s">
        <v>329</v>
      </c>
      <c r="E38" s="8" t="s">
        <v>329</v>
      </c>
      <c r="F38" s="8" t="s">
        <v>329</v>
      </c>
      <c r="G38" s="5">
        <f t="shared" si="0"/>
        <v>1</v>
      </c>
      <c r="H38">
        <f t="shared" si="1"/>
        <v>0</v>
      </c>
      <c r="I38">
        <f t="shared" si="2"/>
        <v>0</v>
      </c>
      <c r="J38">
        <f t="shared" si="3"/>
        <v>0</v>
      </c>
    </row>
    <row r="39" spans="4:10" x14ac:dyDescent="0.25">
      <c r="D39" s="9" t="s">
        <v>329</v>
      </c>
      <c r="E39" s="9" t="s">
        <v>329</v>
      </c>
      <c r="F39" s="9" t="s">
        <v>723</v>
      </c>
      <c r="G39" s="5">
        <f t="shared" si="0"/>
        <v>1</v>
      </c>
      <c r="H39">
        <f t="shared" si="1"/>
        <v>1</v>
      </c>
      <c r="I39">
        <f t="shared" si="2"/>
        <v>0</v>
      </c>
      <c r="J39">
        <f t="shared" si="3"/>
        <v>0</v>
      </c>
    </row>
    <row r="40" spans="4:10" x14ac:dyDescent="0.25">
      <c r="D40" s="8" t="s">
        <v>369</v>
      </c>
      <c r="E40" s="8" t="s">
        <v>721</v>
      </c>
      <c r="F40" s="8" t="s">
        <v>725</v>
      </c>
      <c r="G40" s="5">
        <f t="shared" si="0"/>
        <v>1</v>
      </c>
      <c r="H40">
        <f t="shared" si="1"/>
        <v>1</v>
      </c>
      <c r="I40">
        <f t="shared" si="2"/>
        <v>1</v>
      </c>
      <c r="J40">
        <f t="shared" si="3"/>
        <v>1</v>
      </c>
    </row>
    <row r="41" spans="4:10" x14ac:dyDescent="0.25">
      <c r="D41" s="9" t="s">
        <v>369</v>
      </c>
      <c r="E41" s="9" t="s">
        <v>369</v>
      </c>
      <c r="F41" s="9" t="s">
        <v>369</v>
      </c>
      <c r="G41" s="5">
        <f t="shared" si="0"/>
        <v>0</v>
      </c>
      <c r="H41">
        <f t="shared" si="1"/>
        <v>0</v>
      </c>
      <c r="I41">
        <f t="shared" si="2"/>
        <v>0</v>
      </c>
      <c r="J41">
        <f t="shared" si="3"/>
        <v>1</v>
      </c>
    </row>
    <row r="42" spans="4:10" x14ac:dyDescent="0.25">
      <c r="D42" s="8" t="s">
        <v>32</v>
      </c>
      <c r="E42" s="8" t="s">
        <v>32</v>
      </c>
      <c r="F42" s="8" t="s">
        <v>32</v>
      </c>
      <c r="G42" s="5">
        <f t="shared" si="0"/>
        <v>0</v>
      </c>
      <c r="H42">
        <f t="shared" si="1"/>
        <v>1</v>
      </c>
      <c r="I42">
        <f t="shared" si="2"/>
        <v>0</v>
      </c>
      <c r="J42">
        <f t="shared" si="3"/>
        <v>0</v>
      </c>
    </row>
    <row r="43" spans="4:10" x14ac:dyDescent="0.25">
      <c r="D43" s="9" t="s">
        <v>329</v>
      </c>
      <c r="E43" s="9" t="s">
        <v>329</v>
      </c>
      <c r="F43" s="9" t="s">
        <v>329</v>
      </c>
      <c r="G43" s="5">
        <f t="shared" si="0"/>
        <v>1</v>
      </c>
      <c r="H43">
        <f t="shared" si="1"/>
        <v>0</v>
      </c>
      <c r="I43">
        <f t="shared" si="2"/>
        <v>0</v>
      </c>
      <c r="J43">
        <f t="shared" si="3"/>
        <v>0</v>
      </c>
    </row>
    <row r="44" spans="4:10" x14ac:dyDescent="0.25">
      <c r="D44" s="8" t="s">
        <v>329</v>
      </c>
      <c r="E44" s="8" t="s">
        <v>329</v>
      </c>
      <c r="F44" s="8" t="s">
        <v>721</v>
      </c>
      <c r="G44" s="5">
        <f t="shared" si="0"/>
        <v>1</v>
      </c>
      <c r="H44">
        <f t="shared" si="1"/>
        <v>1</v>
      </c>
      <c r="I44">
        <f t="shared" si="2"/>
        <v>1</v>
      </c>
      <c r="J44">
        <f t="shared" si="3"/>
        <v>1</v>
      </c>
    </row>
    <row r="45" spans="4:10" x14ac:dyDescent="0.25">
      <c r="D45" s="9" t="s">
        <v>329</v>
      </c>
      <c r="E45" s="9" t="s">
        <v>329</v>
      </c>
      <c r="F45" s="9" t="s">
        <v>329</v>
      </c>
      <c r="G45" s="5">
        <f t="shared" si="0"/>
        <v>1</v>
      </c>
      <c r="H45">
        <f t="shared" si="1"/>
        <v>0</v>
      </c>
      <c r="I45">
        <f t="shared" si="2"/>
        <v>0</v>
      </c>
      <c r="J45">
        <f t="shared" si="3"/>
        <v>0</v>
      </c>
    </row>
    <row r="46" spans="4:10" x14ac:dyDescent="0.25">
      <c r="D46" s="8" t="s">
        <v>32</v>
      </c>
      <c r="E46" s="8" t="s">
        <v>723</v>
      </c>
      <c r="F46" s="8" t="s">
        <v>723</v>
      </c>
      <c r="G46" s="5">
        <f t="shared" si="0"/>
        <v>1</v>
      </c>
      <c r="H46">
        <f t="shared" si="1"/>
        <v>1</v>
      </c>
      <c r="I46">
        <f t="shared" si="2"/>
        <v>0</v>
      </c>
      <c r="J46">
        <f t="shared" si="3"/>
        <v>0</v>
      </c>
    </row>
    <row r="47" spans="4:10" x14ac:dyDescent="0.25">
      <c r="D47" s="9" t="s">
        <v>329</v>
      </c>
      <c r="E47" s="9" t="s">
        <v>723</v>
      </c>
      <c r="F47" s="9" t="s">
        <v>723</v>
      </c>
      <c r="G47" s="5">
        <f t="shared" si="0"/>
        <v>1</v>
      </c>
      <c r="H47">
        <f t="shared" si="1"/>
        <v>1</v>
      </c>
      <c r="I47">
        <f t="shared" si="2"/>
        <v>0</v>
      </c>
      <c r="J47">
        <f t="shared" si="3"/>
        <v>0</v>
      </c>
    </row>
    <row r="48" spans="4:10" x14ac:dyDescent="0.25">
      <c r="D48" s="8" t="s">
        <v>32</v>
      </c>
      <c r="E48" s="8" t="s">
        <v>723</v>
      </c>
      <c r="F48" s="8" t="s">
        <v>723</v>
      </c>
      <c r="G48" s="5">
        <f t="shared" si="0"/>
        <v>1</v>
      </c>
      <c r="H48">
        <f t="shared" si="1"/>
        <v>1</v>
      </c>
      <c r="I48">
        <f t="shared" si="2"/>
        <v>0</v>
      </c>
      <c r="J48">
        <f t="shared" si="3"/>
        <v>0</v>
      </c>
    </row>
    <row r="49" spans="4:10" x14ac:dyDescent="0.25">
      <c r="D49" s="9" t="s">
        <v>32</v>
      </c>
      <c r="E49" s="9" t="s">
        <v>723</v>
      </c>
      <c r="F49" s="9" t="s">
        <v>723</v>
      </c>
      <c r="G49" s="5">
        <f t="shared" si="0"/>
        <v>1</v>
      </c>
      <c r="H49">
        <f t="shared" si="1"/>
        <v>1</v>
      </c>
      <c r="I49">
        <f t="shared" si="2"/>
        <v>0</v>
      </c>
      <c r="J49">
        <f t="shared" si="3"/>
        <v>0</v>
      </c>
    </row>
    <row r="50" spans="4:10" x14ac:dyDescent="0.25">
      <c r="D50" s="8" t="s">
        <v>32</v>
      </c>
      <c r="E50" s="8" t="s">
        <v>723</v>
      </c>
      <c r="F50" s="8" t="s">
        <v>723</v>
      </c>
      <c r="G50" s="5">
        <f t="shared" si="0"/>
        <v>1</v>
      </c>
      <c r="H50">
        <f t="shared" si="1"/>
        <v>1</v>
      </c>
      <c r="I50">
        <f t="shared" si="2"/>
        <v>0</v>
      </c>
      <c r="J50">
        <f t="shared" si="3"/>
        <v>0</v>
      </c>
    </row>
    <row r="51" spans="4:10" x14ac:dyDescent="0.25">
      <c r="D51" s="9" t="s">
        <v>32</v>
      </c>
      <c r="E51" s="9" t="s">
        <v>32</v>
      </c>
      <c r="F51" s="9" t="s">
        <v>32</v>
      </c>
      <c r="G51" s="5">
        <f t="shared" si="0"/>
        <v>0</v>
      </c>
      <c r="H51">
        <f t="shared" si="1"/>
        <v>1</v>
      </c>
      <c r="I51">
        <f t="shared" si="2"/>
        <v>0</v>
      </c>
      <c r="J51">
        <f t="shared" si="3"/>
        <v>0</v>
      </c>
    </row>
    <row r="52" spans="4:10" x14ac:dyDescent="0.25">
      <c r="D52" s="8" t="s">
        <v>717</v>
      </c>
      <c r="E52" s="8" t="s">
        <v>728</v>
      </c>
      <c r="F52" s="8" t="s">
        <v>717</v>
      </c>
      <c r="G52" s="5">
        <f t="shared" si="0"/>
        <v>0</v>
      </c>
      <c r="H52">
        <f t="shared" si="1"/>
        <v>1</v>
      </c>
      <c r="I52">
        <f t="shared" si="2"/>
        <v>1</v>
      </c>
      <c r="J52">
        <f t="shared" si="3"/>
        <v>0</v>
      </c>
    </row>
    <row r="53" spans="4:10" x14ac:dyDescent="0.25">
      <c r="D53" s="9" t="s">
        <v>32</v>
      </c>
      <c r="E53" s="9" t="s">
        <v>717</v>
      </c>
      <c r="F53" s="9" t="s">
        <v>717</v>
      </c>
      <c r="G53" s="5">
        <f t="shared" si="0"/>
        <v>0</v>
      </c>
      <c r="H53">
        <f t="shared" si="1"/>
        <v>1</v>
      </c>
      <c r="I53">
        <f t="shared" si="2"/>
        <v>1</v>
      </c>
      <c r="J53">
        <f t="shared" si="3"/>
        <v>0</v>
      </c>
    </row>
    <row r="54" spans="4:10" x14ac:dyDescent="0.25">
      <c r="D54" s="8" t="s">
        <v>329</v>
      </c>
      <c r="E54" s="8" t="s">
        <v>715</v>
      </c>
      <c r="F54" s="8" t="s">
        <v>726</v>
      </c>
      <c r="G54" s="5">
        <f t="shared" si="0"/>
        <v>1</v>
      </c>
      <c r="H54">
        <f t="shared" si="1"/>
        <v>1</v>
      </c>
      <c r="I54">
        <f t="shared" si="2"/>
        <v>1</v>
      </c>
      <c r="J54">
        <f t="shared" si="3"/>
        <v>0</v>
      </c>
    </row>
    <row r="55" spans="4:10" x14ac:dyDescent="0.25">
      <c r="D55" s="9" t="s">
        <v>32</v>
      </c>
      <c r="E55" s="9" t="s">
        <v>32</v>
      </c>
      <c r="F55" s="9" t="s">
        <v>728</v>
      </c>
      <c r="G55" s="5">
        <f t="shared" si="0"/>
        <v>0</v>
      </c>
      <c r="H55">
        <f t="shared" si="1"/>
        <v>1</v>
      </c>
      <c r="I55">
        <f t="shared" si="2"/>
        <v>1</v>
      </c>
      <c r="J55">
        <f t="shared" si="3"/>
        <v>0</v>
      </c>
    </row>
    <row r="56" spans="4:10" x14ac:dyDescent="0.25">
      <c r="D56" s="8" t="s">
        <v>329</v>
      </c>
      <c r="E56" s="8" t="s">
        <v>329</v>
      </c>
      <c r="F56" s="8" t="s">
        <v>329</v>
      </c>
      <c r="G56" s="5">
        <f t="shared" si="0"/>
        <v>1</v>
      </c>
      <c r="H56">
        <f t="shared" si="1"/>
        <v>0</v>
      </c>
      <c r="I56">
        <f t="shared" si="2"/>
        <v>0</v>
      </c>
      <c r="J56">
        <f t="shared" si="3"/>
        <v>0</v>
      </c>
    </row>
    <row r="57" spans="4:10" x14ac:dyDescent="0.25">
      <c r="D57" s="9" t="s">
        <v>329</v>
      </c>
      <c r="E57" s="9" t="s">
        <v>717</v>
      </c>
      <c r="F57" s="9" t="s">
        <v>717</v>
      </c>
      <c r="G57" s="5">
        <f t="shared" si="0"/>
        <v>1</v>
      </c>
      <c r="H57">
        <f t="shared" si="1"/>
        <v>0</v>
      </c>
      <c r="I57">
        <f t="shared" si="2"/>
        <v>1</v>
      </c>
      <c r="J57">
        <f t="shared" si="3"/>
        <v>0</v>
      </c>
    </row>
    <row r="58" spans="4:10" x14ac:dyDescent="0.25">
      <c r="D58" s="8" t="s">
        <v>717</v>
      </c>
      <c r="E58" s="8" t="s">
        <v>717</v>
      </c>
      <c r="F58" s="8" t="s">
        <v>717</v>
      </c>
      <c r="G58" s="5">
        <f t="shared" si="0"/>
        <v>0</v>
      </c>
      <c r="H58">
        <f t="shared" si="1"/>
        <v>0</v>
      </c>
      <c r="I58">
        <f t="shared" si="2"/>
        <v>1</v>
      </c>
      <c r="J58">
        <f t="shared" si="3"/>
        <v>0</v>
      </c>
    </row>
    <row r="59" spans="4:10" x14ac:dyDescent="0.25">
      <c r="D59" s="9" t="s">
        <v>369</v>
      </c>
      <c r="E59" s="9" t="s">
        <v>369</v>
      </c>
      <c r="F59" s="9" t="s">
        <v>369</v>
      </c>
      <c r="G59" s="5">
        <f t="shared" si="0"/>
        <v>0</v>
      </c>
      <c r="H59">
        <f t="shared" si="1"/>
        <v>0</v>
      </c>
      <c r="I59">
        <f t="shared" si="2"/>
        <v>0</v>
      </c>
      <c r="J59">
        <f t="shared" si="3"/>
        <v>1</v>
      </c>
    </row>
    <row r="60" spans="4:10" x14ac:dyDescent="0.25">
      <c r="D60" s="8" t="s">
        <v>329</v>
      </c>
      <c r="E60" s="8" t="s">
        <v>329</v>
      </c>
      <c r="F60" s="8" t="s">
        <v>329</v>
      </c>
      <c r="G60" s="5">
        <f t="shared" si="0"/>
        <v>1</v>
      </c>
      <c r="H60">
        <f t="shared" si="1"/>
        <v>0</v>
      </c>
      <c r="I60">
        <f t="shared" si="2"/>
        <v>0</v>
      </c>
      <c r="J60">
        <f t="shared" si="3"/>
        <v>0</v>
      </c>
    </row>
    <row r="61" spans="4:10" x14ac:dyDescent="0.25">
      <c r="D61" s="9" t="s">
        <v>32</v>
      </c>
      <c r="E61" s="9" t="s">
        <v>32</v>
      </c>
      <c r="F61" s="9" t="s">
        <v>32</v>
      </c>
      <c r="G61" s="5">
        <f t="shared" si="0"/>
        <v>0</v>
      </c>
      <c r="H61">
        <f t="shared" si="1"/>
        <v>1</v>
      </c>
      <c r="I61">
        <f t="shared" si="2"/>
        <v>0</v>
      </c>
      <c r="J61">
        <f t="shared" si="3"/>
        <v>0</v>
      </c>
    </row>
    <row r="62" spans="4:10" x14ac:dyDescent="0.25">
      <c r="D62" s="8" t="s">
        <v>329</v>
      </c>
      <c r="E62" s="8" t="s">
        <v>723</v>
      </c>
      <c r="F62" s="8" t="s">
        <v>723</v>
      </c>
      <c r="G62" s="5">
        <f t="shared" si="0"/>
        <v>1</v>
      </c>
      <c r="H62">
        <f t="shared" si="1"/>
        <v>1</v>
      </c>
      <c r="I62">
        <f t="shared" si="2"/>
        <v>0</v>
      </c>
      <c r="J62">
        <f t="shared" si="3"/>
        <v>0</v>
      </c>
    </row>
    <row r="63" spans="4:10" x14ac:dyDescent="0.25">
      <c r="D63" s="9" t="s">
        <v>369</v>
      </c>
      <c r="E63" s="9" t="s">
        <v>727</v>
      </c>
      <c r="F63" s="9" t="s">
        <v>719</v>
      </c>
      <c r="G63" s="5">
        <f t="shared" si="0"/>
        <v>1</v>
      </c>
      <c r="H63">
        <f t="shared" si="1"/>
        <v>1</v>
      </c>
      <c r="I63">
        <f t="shared" si="2"/>
        <v>0</v>
      </c>
      <c r="J63">
        <f t="shared" si="3"/>
        <v>1</v>
      </c>
    </row>
    <row r="64" spans="4:10" x14ac:dyDescent="0.25">
      <c r="D64" s="8" t="s">
        <v>32</v>
      </c>
      <c r="E64" s="8" t="s">
        <v>32</v>
      </c>
      <c r="F64" s="8" t="s">
        <v>32</v>
      </c>
      <c r="G64" s="5">
        <f t="shared" si="0"/>
        <v>0</v>
      </c>
      <c r="H64">
        <f t="shared" si="1"/>
        <v>1</v>
      </c>
      <c r="I64">
        <f t="shared" si="2"/>
        <v>0</v>
      </c>
      <c r="J64">
        <f t="shared" si="3"/>
        <v>0</v>
      </c>
    </row>
    <row r="65" spans="4:10" x14ac:dyDescent="0.25">
      <c r="D65" s="9" t="s">
        <v>32</v>
      </c>
      <c r="E65" s="9" t="s">
        <v>727</v>
      </c>
      <c r="F65" s="9" t="s">
        <v>32</v>
      </c>
      <c r="G65" s="5">
        <f t="shared" si="0"/>
        <v>0</v>
      </c>
      <c r="H65">
        <f t="shared" si="1"/>
        <v>1</v>
      </c>
      <c r="I65">
        <f t="shared" si="2"/>
        <v>0</v>
      </c>
      <c r="J65">
        <f t="shared" si="3"/>
        <v>1</v>
      </c>
    </row>
    <row r="66" spans="4:10" x14ac:dyDescent="0.25">
      <c r="D66" s="8" t="s">
        <v>329</v>
      </c>
      <c r="E66" s="8" t="s">
        <v>329</v>
      </c>
      <c r="F66" s="8" t="s">
        <v>329</v>
      </c>
      <c r="G66" s="5">
        <f t="shared" si="0"/>
        <v>1</v>
      </c>
      <c r="H66">
        <f t="shared" si="1"/>
        <v>0</v>
      </c>
      <c r="I66">
        <f t="shared" si="2"/>
        <v>0</v>
      </c>
      <c r="J66">
        <f t="shared" si="3"/>
        <v>0</v>
      </c>
    </row>
    <row r="67" spans="4:10" x14ac:dyDescent="0.25">
      <c r="D67" s="9" t="s">
        <v>329</v>
      </c>
      <c r="E67" s="9" t="s">
        <v>329</v>
      </c>
      <c r="F67" s="9" t="s">
        <v>329</v>
      </c>
      <c r="G67" s="5">
        <f t="shared" ref="G67:G130" si="4">IF(OR(ISNUMBER(SEARCH("jazzcash", D67)), ISNUMBER(SEARCH("jazzcash", E67)), ISNUMBER(SEARCH("jazzcash", F67))), 1, 0)</f>
        <v>1</v>
      </c>
      <c r="H67">
        <f t="shared" ref="H67:H130" si="5">IF(OR(ISNUMBER(SEARCH("easypaisa", D67)), ISNUMBER(SEARCH("easypaisa", E67)), ISNUMBER(SEARCH("easypaisa", F67))), 1, 0)</f>
        <v>0</v>
      </c>
      <c r="I67">
        <f t="shared" ref="I67:I130" si="6">IF(OR(ISNUMBER(SEARCH("sadapay", D67)), ISNUMBER(SEARCH("sadapay", E67)), ISNUMBER(SEARCH("sadapay", F67))), 1, 0)</f>
        <v>0</v>
      </c>
      <c r="J67">
        <f t="shared" ref="J67:J130" si="7">IF(OR(ISNUMBER(SEARCH("nayapay", D67)), ISNUMBER(SEARCH("nayapay", E67)), ISNUMBER(SEARCH("nayapay", F67))), 1, 0)</f>
        <v>0</v>
      </c>
    </row>
    <row r="68" spans="4:10" x14ac:dyDescent="0.25">
      <c r="D68" s="8" t="s">
        <v>329</v>
      </c>
      <c r="E68" s="8" t="s">
        <v>329</v>
      </c>
      <c r="F68" s="8" t="s">
        <v>723</v>
      </c>
      <c r="G68" s="5">
        <f t="shared" si="4"/>
        <v>1</v>
      </c>
      <c r="H68">
        <f t="shared" si="5"/>
        <v>1</v>
      </c>
      <c r="I68">
        <f t="shared" si="6"/>
        <v>0</v>
      </c>
      <c r="J68">
        <f t="shared" si="7"/>
        <v>0</v>
      </c>
    </row>
    <row r="69" spans="4:10" x14ac:dyDescent="0.25">
      <c r="D69" s="9" t="s">
        <v>329</v>
      </c>
      <c r="E69" s="9" t="s">
        <v>719</v>
      </c>
      <c r="F69" s="9" t="s">
        <v>723</v>
      </c>
      <c r="G69" s="5">
        <f t="shared" si="4"/>
        <v>1</v>
      </c>
      <c r="H69">
        <f t="shared" si="5"/>
        <v>1</v>
      </c>
      <c r="I69">
        <f t="shared" si="6"/>
        <v>0</v>
      </c>
      <c r="J69">
        <f t="shared" si="7"/>
        <v>1</v>
      </c>
    </row>
    <row r="70" spans="4:10" x14ac:dyDescent="0.25">
      <c r="D70" s="8" t="s">
        <v>32</v>
      </c>
      <c r="E70" s="8" t="s">
        <v>721</v>
      </c>
      <c r="F70" s="8" t="s">
        <v>32</v>
      </c>
      <c r="G70" s="5">
        <f t="shared" si="4"/>
        <v>1</v>
      </c>
      <c r="H70">
        <f t="shared" si="5"/>
        <v>1</v>
      </c>
      <c r="I70">
        <f t="shared" si="6"/>
        <v>1</v>
      </c>
      <c r="J70">
        <f t="shared" si="7"/>
        <v>1</v>
      </c>
    </row>
    <row r="71" spans="4:10" x14ac:dyDescent="0.25">
      <c r="D71" s="9" t="s">
        <v>32</v>
      </c>
      <c r="E71" s="9" t="s">
        <v>32</v>
      </c>
      <c r="F71" s="9" t="s">
        <v>32</v>
      </c>
      <c r="G71" s="5">
        <f t="shared" si="4"/>
        <v>0</v>
      </c>
      <c r="H71">
        <f t="shared" si="5"/>
        <v>1</v>
      </c>
      <c r="I71">
        <f t="shared" si="6"/>
        <v>0</v>
      </c>
      <c r="J71">
        <f t="shared" si="7"/>
        <v>0</v>
      </c>
    </row>
    <row r="72" spans="4:10" x14ac:dyDescent="0.25">
      <c r="D72" s="8" t="s">
        <v>32</v>
      </c>
      <c r="E72" s="8" t="s">
        <v>32</v>
      </c>
      <c r="F72" s="8" t="s">
        <v>32</v>
      </c>
      <c r="G72" s="5">
        <f t="shared" si="4"/>
        <v>0</v>
      </c>
      <c r="H72">
        <f t="shared" si="5"/>
        <v>1</v>
      </c>
      <c r="I72">
        <f t="shared" si="6"/>
        <v>0</v>
      </c>
      <c r="J72">
        <f t="shared" si="7"/>
        <v>0</v>
      </c>
    </row>
    <row r="73" spans="4:10" x14ac:dyDescent="0.25">
      <c r="D73" s="9" t="s">
        <v>329</v>
      </c>
      <c r="E73" s="9" t="s">
        <v>721</v>
      </c>
      <c r="F73" s="9" t="s">
        <v>721</v>
      </c>
      <c r="G73" s="5">
        <f t="shared" si="4"/>
        <v>1</v>
      </c>
      <c r="H73">
        <f t="shared" si="5"/>
        <v>1</v>
      </c>
      <c r="I73">
        <f t="shared" si="6"/>
        <v>1</v>
      </c>
      <c r="J73">
        <f t="shared" si="7"/>
        <v>1</v>
      </c>
    </row>
    <row r="74" spans="4:10" x14ac:dyDescent="0.25">
      <c r="D74" s="8" t="s">
        <v>369</v>
      </c>
      <c r="E74" s="8" t="s">
        <v>732</v>
      </c>
      <c r="F74" s="8" t="s">
        <v>732</v>
      </c>
      <c r="G74" s="5">
        <f t="shared" si="4"/>
        <v>0</v>
      </c>
      <c r="H74">
        <f t="shared" si="5"/>
        <v>0</v>
      </c>
      <c r="I74">
        <f t="shared" si="6"/>
        <v>1</v>
      </c>
      <c r="J74">
        <f t="shared" si="7"/>
        <v>1</v>
      </c>
    </row>
    <row r="75" spans="4:10" x14ac:dyDescent="0.25">
      <c r="D75" s="9" t="s">
        <v>329</v>
      </c>
      <c r="E75" s="9" t="s">
        <v>721</v>
      </c>
      <c r="F75" s="9" t="s">
        <v>721</v>
      </c>
      <c r="G75" s="5">
        <f t="shared" si="4"/>
        <v>1</v>
      </c>
      <c r="H75">
        <f t="shared" si="5"/>
        <v>1</v>
      </c>
      <c r="I75">
        <f t="shared" si="6"/>
        <v>1</v>
      </c>
      <c r="J75">
        <f t="shared" si="7"/>
        <v>1</v>
      </c>
    </row>
    <row r="76" spans="4:10" x14ac:dyDescent="0.25">
      <c r="D76" s="8" t="s">
        <v>329</v>
      </c>
      <c r="E76" s="8" t="s">
        <v>724</v>
      </c>
      <c r="F76" s="8" t="s">
        <v>724</v>
      </c>
      <c r="G76" s="5">
        <f t="shared" si="4"/>
        <v>1</v>
      </c>
      <c r="H76">
        <f t="shared" si="5"/>
        <v>0</v>
      </c>
      <c r="I76">
        <f t="shared" si="6"/>
        <v>1</v>
      </c>
      <c r="J76">
        <f t="shared" si="7"/>
        <v>1</v>
      </c>
    </row>
    <row r="77" spans="4:10" x14ac:dyDescent="0.25">
      <c r="D77" s="9" t="s">
        <v>717</v>
      </c>
      <c r="E77" s="9" t="s">
        <v>717</v>
      </c>
      <c r="F77" s="9" t="s">
        <v>717</v>
      </c>
      <c r="G77" s="5">
        <f t="shared" si="4"/>
        <v>0</v>
      </c>
      <c r="H77">
        <f t="shared" si="5"/>
        <v>0</v>
      </c>
      <c r="I77">
        <f t="shared" si="6"/>
        <v>1</v>
      </c>
      <c r="J77">
        <f t="shared" si="7"/>
        <v>0</v>
      </c>
    </row>
    <row r="78" spans="4:10" x14ac:dyDescent="0.25">
      <c r="D78" s="8" t="s">
        <v>329</v>
      </c>
      <c r="E78" s="8" t="s">
        <v>725</v>
      </c>
      <c r="F78" s="8" t="s">
        <v>725</v>
      </c>
      <c r="G78" s="5">
        <f t="shared" si="4"/>
        <v>1</v>
      </c>
      <c r="H78">
        <f t="shared" si="5"/>
        <v>0</v>
      </c>
      <c r="I78">
        <f t="shared" si="6"/>
        <v>0</v>
      </c>
      <c r="J78">
        <f t="shared" si="7"/>
        <v>1</v>
      </c>
    </row>
    <row r="79" spans="4:10" x14ac:dyDescent="0.25">
      <c r="D79" s="9" t="s">
        <v>733</v>
      </c>
      <c r="E79" s="9" t="s">
        <v>329</v>
      </c>
      <c r="F79" s="9" t="s">
        <v>329</v>
      </c>
      <c r="G79" s="5">
        <f t="shared" si="4"/>
        <v>1</v>
      </c>
      <c r="H79">
        <f t="shared" si="5"/>
        <v>0</v>
      </c>
      <c r="I79">
        <f t="shared" si="6"/>
        <v>0</v>
      </c>
      <c r="J79">
        <f t="shared" si="7"/>
        <v>0</v>
      </c>
    </row>
    <row r="80" spans="4:10" x14ac:dyDescent="0.25">
      <c r="D80" s="8" t="s">
        <v>329</v>
      </c>
      <c r="E80" s="8" t="s">
        <v>715</v>
      </c>
      <c r="F80" s="8" t="s">
        <v>329</v>
      </c>
      <c r="G80" s="5">
        <f t="shared" si="4"/>
        <v>1</v>
      </c>
      <c r="H80">
        <f t="shared" si="5"/>
        <v>1</v>
      </c>
      <c r="I80">
        <f t="shared" si="6"/>
        <v>1</v>
      </c>
      <c r="J80">
        <f t="shared" si="7"/>
        <v>0</v>
      </c>
    </row>
    <row r="81" spans="4:10" x14ac:dyDescent="0.25">
      <c r="D81" s="9" t="s">
        <v>369</v>
      </c>
      <c r="E81" s="9" t="s">
        <v>734</v>
      </c>
      <c r="F81" s="9" t="s">
        <v>369</v>
      </c>
      <c r="G81" s="5">
        <f t="shared" si="4"/>
        <v>0</v>
      </c>
      <c r="H81">
        <f t="shared" si="5"/>
        <v>1</v>
      </c>
      <c r="I81">
        <f t="shared" si="6"/>
        <v>0</v>
      </c>
      <c r="J81">
        <f t="shared" si="7"/>
        <v>1</v>
      </c>
    </row>
    <row r="82" spans="4:10" x14ac:dyDescent="0.25">
      <c r="D82" s="8" t="s">
        <v>735</v>
      </c>
      <c r="E82" s="8" t="s">
        <v>369</v>
      </c>
      <c r="F82" s="8" t="s">
        <v>719</v>
      </c>
      <c r="G82" s="5">
        <f t="shared" si="4"/>
        <v>1</v>
      </c>
      <c r="H82">
        <f t="shared" si="5"/>
        <v>1</v>
      </c>
      <c r="I82">
        <f t="shared" si="6"/>
        <v>0</v>
      </c>
      <c r="J82">
        <f t="shared" si="7"/>
        <v>1</v>
      </c>
    </row>
    <row r="83" spans="4:10" x14ac:dyDescent="0.25">
      <c r="D83" s="9" t="s">
        <v>32</v>
      </c>
      <c r="E83" s="9" t="s">
        <v>728</v>
      </c>
      <c r="F83" s="9" t="s">
        <v>728</v>
      </c>
      <c r="G83" s="5">
        <f t="shared" si="4"/>
        <v>0</v>
      </c>
      <c r="H83">
        <f t="shared" si="5"/>
        <v>1</v>
      </c>
      <c r="I83">
        <f t="shared" si="6"/>
        <v>1</v>
      </c>
      <c r="J83">
        <f t="shared" si="7"/>
        <v>0</v>
      </c>
    </row>
    <row r="84" spans="4:10" x14ac:dyDescent="0.25">
      <c r="D84" s="8" t="s">
        <v>329</v>
      </c>
      <c r="E84" s="8" t="s">
        <v>329</v>
      </c>
      <c r="F84" s="8" t="s">
        <v>329</v>
      </c>
      <c r="G84" s="5">
        <f t="shared" si="4"/>
        <v>1</v>
      </c>
      <c r="H84">
        <f t="shared" si="5"/>
        <v>0</v>
      </c>
      <c r="I84">
        <f t="shared" si="6"/>
        <v>0</v>
      </c>
      <c r="J84">
        <f t="shared" si="7"/>
        <v>0</v>
      </c>
    </row>
    <row r="85" spans="4:10" x14ac:dyDescent="0.25">
      <c r="D85" s="9" t="s">
        <v>32</v>
      </c>
      <c r="E85" s="9" t="s">
        <v>723</v>
      </c>
      <c r="F85" s="9" t="s">
        <v>723</v>
      </c>
      <c r="G85" s="5">
        <f t="shared" si="4"/>
        <v>1</v>
      </c>
      <c r="H85">
        <f t="shared" si="5"/>
        <v>1</v>
      </c>
      <c r="I85">
        <f t="shared" si="6"/>
        <v>0</v>
      </c>
      <c r="J85">
        <f t="shared" si="7"/>
        <v>0</v>
      </c>
    </row>
    <row r="86" spans="4:10" x14ac:dyDescent="0.25">
      <c r="D86" s="8" t="s">
        <v>329</v>
      </c>
      <c r="E86" s="8" t="s">
        <v>732</v>
      </c>
      <c r="F86" s="8" t="s">
        <v>717</v>
      </c>
      <c r="G86" s="5">
        <f t="shared" si="4"/>
        <v>1</v>
      </c>
      <c r="H86">
        <f t="shared" si="5"/>
        <v>0</v>
      </c>
      <c r="I86">
        <f t="shared" si="6"/>
        <v>1</v>
      </c>
      <c r="J86">
        <f t="shared" si="7"/>
        <v>1</v>
      </c>
    </row>
    <row r="87" spans="4:10" x14ac:dyDescent="0.25">
      <c r="D87" s="9" t="s">
        <v>369</v>
      </c>
      <c r="E87" s="9" t="s">
        <v>369</v>
      </c>
      <c r="F87" s="9" t="s">
        <v>369</v>
      </c>
      <c r="G87" s="5">
        <f t="shared" si="4"/>
        <v>0</v>
      </c>
      <c r="H87">
        <f t="shared" si="5"/>
        <v>0</v>
      </c>
      <c r="I87">
        <f t="shared" si="6"/>
        <v>0</v>
      </c>
      <c r="J87">
        <f t="shared" si="7"/>
        <v>1</v>
      </c>
    </row>
    <row r="88" spans="4:10" x14ac:dyDescent="0.25">
      <c r="D88" s="8" t="s">
        <v>736</v>
      </c>
      <c r="E88" s="8" t="s">
        <v>723</v>
      </c>
      <c r="F88" s="8" t="s">
        <v>329</v>
      </c>
      <c r="G88" s="5">
        <f t="shared" si="4"/>
        <v>1</v>
      </c>
      <c r="H88">
        <f t="shared" si="5"/>
        <v>1</v>
      </c>
      <c r="I88">
        <f t="shared" si="6"/>
        <v>0</v>
      </c>
      <c r="J88">
        <f t="shared" si="7"/>
        <v>0</v>
      </c>
    </row>
    <row r="89" spans="4:10" x14ac:dyDescent="0.25">
      <c r="D89" s="9" t="s">
        <v>329</v>
      </c>
      <c r="E89" s="9" t="s">
        <v>329</v>
      </c>
      <c r="F89" s="9" t="s">
        <v>329</v>
      </c>
      <c r="G89" s="5">
        <f t="shared" si="4"/>
        <v>1</v>
      </c>
      <c r="H89">
        <f t="shared" si="5"/>
        <v>0</v>
      </c>
      <c r="I89">
        <f t="shared" si="6"/>
        <v>0</v>
      </c>
      <c r="J89">
        <f t="shared" si="7"/>
        <v>0</v>
      </c>
    </row>
    <row r="90" spans="4:10" x14ac:dyDescent="0.25">
      <c r="D90" s="8" t="s">
        <v>32</v>
      </c>
      <c r="E90" s="8" t="s">
        <v>737</v>
      </c>
      <c r="F90" s="8" t="s">
        <v>737</v>
      </c>
      <c r="G90" s="5">
        <f t="shared" si="4"/>
        <v>0</v>
      </c>
      <c r="H90">
        <f t="shared" si="5"/>
        <v>1</v>
      </c>
      <c r="I90">
        <f t="shared" si="6"/>
        <v>1</v>
      </c>
      <c r="J90">
        <f t="shared" si="7"/>
        <v>1</v>
      </c>
    </row>
    <row r="91" spans="4:10" x14ac:dyDescent="0.25">
      <c r="D91" s="9" t="s">
        <v>329</v>
      </c>
      <c r="E91" s="9" t="s">
        <v>723</v>
      </c>
      <c r="F91" s="9" t="s">
        <v>723</v>
      </c>
      <c r="G91" s="5">
        <f t="shared" si="4"/>
        <v>1</v>
      </c>
      <c r="H91">
        <f t="shared" si="5"/>
        <v>1</v>
      </c>
      <c r="I91">
        <f t="shared" si="6"/>
        <v>0</v>
      </c>
      <c r="J91">
        <f t="shared" si="7"/>
        <v>0</v>
      </c>
    </row>
    <row r="92" spans="4:10" x14ac:dyDescent="0.25">
      <c r="D92" s="8" t="s">
        <v>329</v>
      </c>
      <c r="E92" s="8" t="s">
        <v>721</v>
      </c>
      <c r="F92" s="8" t="s">
        <v>721</v>
      </c>
      <c r="G92" s="5">
        <f t="shared" si="4"/>
        <v>1</v>
      </c>
      <c r="H92">
        <f t="shared" si="5"/>
        <v>1</v>
      </c>
      <c r="I92">
        <f t="shared" si="6"/>
        <v>1</v>
      </c>
      <c r="J92">
        <f t="shared" si="7"/>
        <v>1</v>
      </c>
    </row>
    <row r="93" spans="4:10" x14ac:dyDescent="0.25">
      <c r="D93" s="9" t="s">
        <v>329</v>
      </c>
      <c r="E93" s="9" t="s">
        <v>721</v>
      </c>
      <c r="F93" s="9" t="s">
        <v>721</v>
      </c>
      <c r="G93" s="5">
        <f t="shared" si="4"/>
        <v>1</v>
      </c>
      <c r="H93">
        <f t="shared" si="5"/>
        <v>1</v>
      </c>
      <c r="I93">
        <f t="shared" si="6"/>
        <v>1</v>
      </c>
      <c r="J93">
        <f t="shared" si="7"/>
        <v>1</v>
      </c>
    </row>
    <row r="94" spans="4:10" x14ac:dyDescent="0.25">
      <c r="D94" s="8" t="s">
        <v>329</v>
      </c>
      <c r="E94" s="8" t="s">
        <v>723</v>
      </c>
      <c r="F94" s="8" t="s">
        <v>723</v>
      </c>
      <c r="G94" s="5">
        <f t="shared" si="4"/>
        <v>1</v>
      </c>
      <c r="H94">
        <f t="shared" si="5"/>
        <v>1</v>
      </c>
      <c r="I94">
        <f t="shared" si="6"/>
        <v>0</v>
      </c>
      <c r="J94">
        <f t="shared" si="7"/>
        <v>0</v>
      </c>
    </row>
    <row r="95" spans="4:10" x14ac:dyDescent="0.25">
      <c r="D95" s="9" t="s">
        <v>329</v>
      </c>
      <c r="E95" s="9" t="s">
        <v>715</v>
      </c>
      <c r="F95" s="9" t="s">
        <v>726</v>
      </c>
      <c r="G95" s="5">
        <f t="shared" si="4"/>
        <v>1</v>
      </c>
      <c r="H95">
        <f t="shared" si="5"/>
        <v>1</v>
      </c>
      <c r="I95">
        <f t="shared" si="6"/>
        <v>1</v>
      </c>
      <c r="J95">
        <f t="shared" si="7"/>
        <v>0</v>
      </c>
    </row>
    <row r="96" spans="4:10" x14ac:dyDescent="0.25">
      <c r="D96" s="8" t="s">
        <v>329</v>
      </c>
      <c r="E96" s="8" t="s">
        <v>732</v>
      </c>
      <c r="F96" s="8" t="s">
        <v>732</v>
      </c>
      <c r="G96" s="5">
        <f t="shared" si="4"/>
        <v>1</v>
      </c>
      <c r="H96">
        <f t="shared" si="5"/>
        <v>0</v>
      </c>
      <c r="I96">
        <f t="shared" si="6"/>
        <v>1</v>
      </c>
      <c r="J96">
        <f t="shared" si="7"/>
        <v>1</v>
      </c>
    </row>
    <row r="97" spans="4:10" x14ac:dyDescent="0.25">
      <c r="D97" s="9" t="s">
        <v>329</v>
      </c>
      <c r="E97" s="9" t="s">
        <v>329</v>
      </c>
      <c r="F97" s="9" t="s">
        <v>723</v>
      </c>
      <c r="G97" s="5">
        <f t="shared" si="4"/>
        <v>1</v>
      </c>
      <c r="H97">
        <f t="shared" si="5"/>
        <v>1</v>
      </c>
      <c r="I97">
        <f t="shared" si="6"/>
        <v>0</v>
      </c>
      <c r="J97">
        <f t="shared" si="7"/>
        <v>0</v>
      </c>
    </row>
    <row r="98" spans="4:10" x14ac:dyDescent="0.25">
      <c r="D98" s="8" t="s">
        <v>329</v>
      </c>
      <c r="E98" s="8" t="s">
        <v>721</v>
      </c>
      <c r="F98" s="8" t="s">
        <v>719</v>
      </c>
      <c r="G98" s="5">
        <f t="shared" si="4"/>
        <v>1</v>
      </c>
      <c r="H98">
        <f t="shared" si="5"/>
        <v>1</v>
      </c>
      <c r="I98">
        <f t="shared" si="6"/>
        <v>1</v>
      </c>
      <c r="J98">
        <f t="shared" si="7"/>
        <v>1</v>
      </c>
    </row>
    <row r="99" spans="4:10" x14ac:dyDescent="0.25">
      <c r="D99" s="9" t="s">
        <v>329</v>
      </c>
      <c r="E99" s="9" t="s">
        <v>329</v>
      </c>
      <c r="F99" s="9" t="s">
        <v>329</v>
      </c>
      <c r="G99" s="5">
        <f t="shared" si="4"/>
        <v>1</v>
      </c>
      <c r="H99">
        <f t="shared" si="5"/>
        <v>0</v>
      </c>
      <c r="I99">
        <f t="shared" si="6"/>
        <v>0</v>
      </c>
      <c r="J99">
        <f t="shared" si="7"/>
        <v>0</v>
      </c>
    </row>
    <row r="100" spans="4:10" x14ac:dyDescent="0.25">
      <c r="D100" s="8" t="s">
        <v>329</v>
      </c>
      <c r="E100" s="8" t="s">
        <v>715</v>
      </c>
      <c r="F100" s="8" t="s">
        <v>715</v>
      </c>
      <c r="G100" s="5">
        <f t="shared" si="4"/>
        <v>1</v>
      </c>
      <c r="H100">
        <f t="shared" si="5"/>
        <v>1</v>
      </c>
      <c r="I100">
        <f t="shared" si="6"/>
        <v>1</v>
      </c>
      <c r="J100">
        <f t="shared" si="7"/>
        <v>0</v>
      </c>
    </row>
    <row r="101" spans="4:10" x14ac:dyDescent="0.25">
      <c r="D101" s="9" t="s">
        <v>32</v>
      </c>
      <c r="E101" s="9" t="s">
        <v>369</v>
      </c>
      <c r="F101" s="9" t="s">
        <v>369</v>
      </c>
      <c r="G101" s="5">
        <f t="shared" si="4"/>
        <v>0</v>
      </c>
      <c r="H101">
        <f t="shared" si="5"/>
        <v>1</v>
      </c>
      <c r="I101">
        <f t="shared" si="6"/>
        <v>0</v>
      </c>
      <c r="J101">
        <f t="shared" si="7"/>
        <v>1</v>
      </c>
    </row>
    <row r="102" spans="4:10" x14ac:dyDescent="0.25">
      <c r="D102" s="8" t="s">
        <v>329</v>
      </c>
      <c r="E102" s="8" t="s">
        <v>721</v>
      </c>
      <c r="F102" s="8" t="s">
        <v>725</v>
      </c>
      <c r="G102" s="5">
        <f t="shared" si="4"/>
        <v>1</v>
      </c>
      <c r="H102">
        <f t="shared" si="5"/>
        <v>1</v>
      </c>
      <c r="I102">
        <f t="shared" si="6"/>
        <v>1</v>
      </c>
      <c r="J102">
        <f t="shared" si="7"/>
        <v>1</v>
      </c>
    </row>
    <row r="103" spans="4:10" x14ac:dyDescent="0.25">
      <c r="D103" s="9" t="s">
        <v>329</v>
      </c>
      <c r="E103" s="9" t="s">
        <v>723</v>
      </c>
      <c r="F103" s="9" t="s">
        <v>723</v>
      </c>
      <c r="G103" s="5">
        <f t="shared" si="4"/>
        <v>1</v>
      </c>
      <c r="H103">
        <f t="shared" si="5"/>
        <v>1</v>
      </c>
      <c r="I103">
        <f t="shared" si="6"/>
        <v>0</v>
      </c>
      <c r="J103">
        <f t="shared" si="7"/>
        <v>0</v>
      </c>
    </row>
    <row r="104" spans="4:10" x14ac:dyDescent="0.25">
      <c r="D104" s="8" t="s">
        <v>329</v>
      </c>
      <c r="E104" s="8" t="s">
        <v>369</v>
      </c>
      <c r="F104" s="8" t="s">
        <v>725</v>
      </c>
      <c r="G104" s="5">
        <f t="shared" si="4"/>
        <v>1</v>
      </c>
      <c r="H104">
        <f t="shared" si="5"/>
        <v>0</v>
      </c>
      <c r="I104">
        <f t="shared" si="6"/>
        <v>0</v>
      </c>
      <c r="J104">
        <f t="shared" si="7"/>
        <v>1</v>
      </c>
    </row>
    <row r="105" spans="4:10" x14ac:dyDescent="0.25">
      <c r="D105" s="9" t="s">
        <v>32</v>
      </c>
      <c r="E105" s="9" t="s">
        <v>723</v>
      </c>
      <c r="F105" s="9" t="s">
        <v>723</v>
      </c>
      <c r="G105" s="5">
        <f t="shared" si="4"/>
        <v>1</v>
      </c>
      <c r="H105">
        <f t="shared" si="5"/>
        <v>1</v>
      </c>
      <c r="I105">
        <f t="shared" si="6"/>
        <v>0</v>
      </c>
      <c r="J105">
        <f t="shared" si="7"/>
        <v>0</v>
      </c>
    </row>
    <row r="106" spans="4:10" x14ac:dyDescent="0.25">
      <c r="D106" s="8" t="s">
        <v>32</v>
      </c>
      <c r="E106" s="8" t="s">
        <v>32</v>
      </c>
      <c r="F106" s="8" t="s">
        <v>32</v>
      </c>
      <c r="G106" s="5">
        <f t="shared" si="4"/>
        <v>0</v>
      </c>
      <c r="H106">
        <f t="shared" si="5"/>
        <v>1</v>
      </c>
      <c r="I106">
        <f t="shared" si="6"/>
        <v>0</v>
      </c>
      <c r="J106">
        <f t="shared" si="7"/>
        <v>0</v>
      </c>
    </row>
    <row r="107" spans="4:10" x14ac:dyDescent="0.25">
      <c r="D107" s="9" t="s">
        <v>329</v>
      </c>
      <c r="E107" s="9" t="s">
        <v>723</v>
      </c>
      <c r="F107" s="9" t="s">
        <v>723</v>
      </c>
      <c r="G107" s="5">
        <f t="shared" si="4"/>
        <v>1</v>
      </c>
      <c r="H107">
        <f t="shared" si="5"/>
        <v>1</v>
      </c>
      <c r="I107">
        <f t="shared" si="6"/>
        <v>0</v>
      </c>
      <c r="J107">
        <f t="shared" si="7"/>
        <v>0</v>
      </c>
    </row>
    <row r="108" spans="4:10" x14ac:dyDescent="0.25">
      <c r="D108" s="8" t="s">
        <v>329</v>
      </c>
      <c r="E108" s="8" t="s">
        <v>723</v>
      </c>
      <c r="F108" s="8" t="s">
        <v>723</v>
      </c>
      <c r="G108" s="5">
        <f t="shared" si="4"/>
        <v>1</v>
      </c>
      <c r="H108">
        <f t="shared" si="5"/>
        <v>1</v>
      </c>
      <c r="I108">
        <f t="shared" si="6"/>
        <v>0</v>
      </c>
      <c r="J108">
        <f t="shared" si="7"/>
        <v>0</v>
      </c>
    </row>
    <row r="109" spans="4:10" x14ac:dyDescent="0.25">
      <c r="D109" s="9" t="s">
        <v>32</v>
      </c>
      <c r="E109" s="9" t="s">
        <v>32</v>
      </c>
      <c r="F109" s="9" t="s">
        <v>32</v>
      </c>
      <c r="G109" s="5">
        <f t="shared" si="4"/>
        <v>0</v>
      </c>
      <c r="H109">
        <f t="shared" si="5"/>
        <v>1</v>
      </c>
      <c r="I109">
        <f t="shared" si="6"/>
        <v>0</v>
      </c>
      <c r="J109">
        <f t="shared" si="7"/>
        <v>0</v>
      </c>
    </row>
    <row r="110" spans="4:10" x14ac:dyDescent="0.25">
      <c r="D110" s="8" t="s">
        <v>32</v>
      </c>
      <c r="E110" s="8" t="s">
        <v>32</v>
      </c>
      <c r="F110" s="8" t="s">
        <v>715</v>
      </c>
      <c r="G110" s="5">
        <f t="shared" si="4"/>
        <v>1</v>
      </c>
      <c r="H110">
        <f t="shared" si="5"/>
        <v>1</v>
      </c>
      <c r="I110">
        <f t="shared" si="6"/>
        <v>1</v>
      </c>
      <c r="J110">
        <f t="shared" si="7"/>
        <v>0</v>
      </c>
    </row>
    <row r="111" spans="4:10" x14ac:dyDescent="0.25">
      <c r="D111" s="9" t="s">
        <v>329</v>
      </c>
      <c r="E111" s="9" t="s">
        <v>329</v>
      </c>
      <c r="F111" s="9" t="s">
        <v>329</v>
      </c>
      <c r="G111" s="5">
        <f t="shared" si="4"/>
        <v>1</v>
      </c>
      <c r="H111">
        <f t="shared" si="5"/>
        <v>0</v>
      </c>
      <c r="I111">
        <f t="shared" si="6"/>
        <v>0</v>
      </c>
      <c r="J111">
        <f t="shared" si="7"/>
        <v>0</v>
      </c>
    </row>
    <row r="112" spans="4:10" x14ac:dyDescent="0.25">
      <c r="D112" s="8" t="s">
        <v>329</v>
      </c>
      <c r="E112" s="8" t="s">
        <v>721</v>
      </c>
      <c r="F112" s="8" t="s">
        <v>721</v>
      </c>
      <c r="G112" s="5">
        <f t="shared" si="4"/>
        <v>1</v>
      </c>
      <c r="H112">
        <f t="shared" si="5"/>
        <v>1</v>
      </c>
      <c r="I112">
        <f t="shared" si="6"/>
        <v>1</v>
      </c>
      <c r="J112">
        <f t="shared" si="7"/>
        <v>1</v>
      </c>
    </row>
    <row r="113" spans="4:10" x14ac:dyDescent="0.25">
      <c r="D113" s="9" t="s">
        <v>329</v>
      </c>
      <c r="E113" s="9" t="s">
        <v>329</v>
      </c>
      <c r="F113" s="9" t="s">
        <v>329</v>
      </c>
      <c r="G113" s="5">
        <f t="shared" si="4"/>
        <v>1</v>
      </c>
      <c r="H113">
        <f t="shared" si="5"/>
        <v>0</v>
      </c>
      <c r="I113">
        <f t="shared" si="6"/>
        <v>0</v>
      </c>
      <c r="J113">
        <f t="shared" si="7"/>
        <v>0</v>
      </c>
    </row>
    <row r="114" spans="4:10" x14ac:dyDescent="0.25">
      <c r="D114" s="8" t="s">
        <v>32</v>
      </c>
      <c r="E114" s="8" t="s">
        <v>329</v>
      </c>
      <c r="F114" s="8" t="s">
        <v>329</v>
      </c>
      <c r="G114" s="5">
        <f t="shared" si="4"/>
        <v>1</v>
      </c>
      <c r="H114">
        <f t="shared" si="5"/>
        <v>1</v>
      </c>
      <c r="I114">
        <f t="shared" si="6"/>
        <v>0</v>
      </c>
      <c r="J114">
        <f t="shared" si="7"/>
        <v>0</v>
      </c>
    </row>
    <row r="115" spans="4:10" x14ac:dyDescent="0.25">
      <c r="D115" s="9" t="s">
        <v>369</v>
      </c>
      <c r="E115" s="9" t="s">
        <v>725</v>
      </c>
      <c r="F115" s="9" t="s">
        <v>369</v>
      </c>
      <c r="G115" s="5">
        <f t="shared" si="4"/>
        <v>1</v>
      </c>
      <c r="H115">
        <f t="shared" si="5"/>
        <v>0</v>
      </c>
      <c r="I115">
        <f t="shared" si="6"/>
        <v>0</v>
      </c>
      <c r="J115">
        <f t="shared" si="7"/>
        <v>1</v>
      </c>
    </row>
    <row r="116" spans="4:10" x14ac:dyDescent="0.25">
      <c r="D116" s="8" t="s">
        <v>329</v>
      </c>
      <c r="E116" s="8" t="s">
        <v>726</v>
      </c>
      <c r="F116" s="8" t="s">
        <v>717</v>
      </c>
      <c r="G116" s="5">
        <f t="shared" si="4"/>
        <v>1</v>
      </c>
      <c r="H116">
        <f t="shared" si="5"/>
        <v>0</v>
      </c>
      <c r="I116">
        <f t="shared" si="6"/>
        <v>1</v>
      </c>
      <c r="J116">
        <f t="shared" si="7"/>
        <v>0</v>
      </c>
    </row>
    <row r="117" spans="4:10" x14ac:dyDescent="0.25">
      <c r="D117" s="9" t="s">
        <v>329</v>
      </c>
      <c r="E117" s="9" t="s">
        <v>723</v>
      </c>
      <c r="F117" s="9" t="s">
        <v>329</v>
      </c>
      <c r="G117" s="5">
        <f t="shared" si="4"/>
        <v>1</v>
      </c>
      <c r="H117">
        <f t="shared" si="5"/>
        <v>1</v>
      </c>
      <c r="I117">
        <f t="shared" si="6"/>
        <v>0</v>
      </c>
      <c r="J117">
        <f t="shared" si="7"/>
        <v>0</v>
      </c>
    </row>
    <row r="118" spans="4:10" x14ac:dyDescent="0.25">
      <c r="D118" s="8" t="s">
        <v>329</v>
      </c>
      <c r="E118" s="8" t="s">
        <v>329</v>
      </c>
      <c r="F118" s="8" t="s">
        <v>329</v>
      </c>
      <c r="G118" s="5">
        <f t="shared" si="4"/>
        <v>1</v>
      </c>
      <c r="H118">
        <f t="shared" si="5"/>
        <v>0</v>
      </c>
      <c r="I118">
        <f t="shared" si="6"/>
        <v>0</v>
      </c>
      <c r="J118">
        <f t="shared" si="7"/>
        <v>0</v>
      </c>
    </row>
    <row r="119" spans="4:10" x14ac:dyDescent="0.25">
      <c r="D119" s="9" t="s">
        <v>329</v>
      </c>
      <c r="E119" s="9" t="s">
        <v>723</v>
      </c>
      <c r="F119" s="9" t="s">
        <v>723</v>
      </c>
      <c r="G119" s="5">
        <f t="shared" si="4"/>
        <v>1</v>
      </c>
      <c r="H119">
        <f t="shared" si="5"/>
        <v>1</v>
      </c>
      <c r="I119">
        <f t="shared" si="6"/>
        <v>0</v>
      </c>
      <c r="J119">
        <f t="shared" si="7"/>
        <v>0</v>
      </c>
    </row>
    <row r="120" spans="4:10" x14ac:dyDescent="0.25">
      <c r="D120" s="8" t="s">
        <v>329</v>
      </c>
      <c r="E120" s="8" t="s">
        <v>32</v>
      </c>
      <c r="F120" s="8" t="s">
        <v>32</v>
      </c>
      <c r="G120" s="5">
        <f t="shared" si="4"/>
        <v>1</v>
      </c>
      <c r="H120">
        <f t="shared" si="5"/>
        <v>1</v>
      </c>
      <c r="I120">
        <f t="shared" si="6"/>
        <v>0</v>
      </c>
      <c r="J120">
        <f t="shared" si="7"/>
        <v>0</v>
      </c>
    </row>
    <row r="121" spans="4:10" x14ac:dyDescent="0.25">
      <c r="D121" s="9" t="s">
        <v>329</v>
      </c>
      <c r="E121" s="9" t="s">
        <v>724</v>
      </c>
      <c r="F121" s="9" t="s">
        <v>723</v>
      </c>
      <c r="G121" s="5">
        <f t="shared" si="4"/>
        <v>1</v>
      </c>
      <c r="H121">
        <f t="shared" si="5"/>
        <v>1</v>
      </c>
      <c r="I121">
        <f t="shared" si="6"/>
        <v>1</v>
      </c>
      <c r="J121">
        <f t="shared" si="7"/>
        <v>1</v>
      </c>
    </row>
    <row r="122" spans="4:10" x14ac:dyDescent="0.25">
      <c r="D122" s="8" t="s">
        <v>32</v>
      </c>
      <c r="E122" s="8" t="s">
        <v>727</v>
      </c>
      <c r="F122" s="8" t="s">
        <v>727</v>
      </c>
      <c r="G122" s="5">
        <f t="shared" si="4"/>
        <v>0</v>
      </c>
      <c r="H122">
        <f t="shared" si="5"/>
        <v>1</v>
      </c>
      <c r="I122">
        <f t="shared" si="6"/>
        <v>0</v>
      </c>
      <c r="J122">
        <f t="shared" si="7"/>
        <v>1</v>
      </c>
    </row>
    <row r="123" spans="4:10" x14ac:dyDescent="0.25">
      <c r="D123" s="9" t="s">
        <v>32</v>
      </c>
      <c r="E123" s="9" t="s">
        <v>32</v>
      </c>
      <c r="F123" s="9" t="s">
        <v>32</v>
      </c>
      <c r="G123" s="5">
        <f t="shared" si="4"/>
        <v>0</v>
      </c>
      <c r="H123">
        <f t="shared" si="5"/>
        <v>1</v>
      </c>
      <c r="I123">
        <f t="shared" si="6"/>
        <v>0</v>
      </c>
      <c r="J123">
        <f t="shared" si="7"/>
        <v>0</v>
      </c>
    </row>
    <row r="124" spans="4:10" x14ac:dyDescent="0.25">
      <c r="D124" s="8" t="s">
        <v>329</v>
      </c>
      <c r="E124" s="8" t="s">
        <v>329</v>
      </c>
      <c r="F124" s="8" t="s">
        <v>329</v>
      </c>
      <c r="G124" s="5">
        <f t="shared" si="4"/>
        <v>1</v>
      </c>
      <c r="H124">
        <f t="shared" si="5"/>
        <v>0</v>
      </c>
      <c r="I124">
        <f t="shared" si="6"/>
        <v>0</v>
      </c>
      <c r="J124">
        <f t="shared" si="7"/>
        <v>0</v>
      </c>
    </row>
    <row r="125" spans="4:10" x14ac:dyDescent="0.25">
      <c r="D125" s="9" t="s">
        <v>329</v>
      </c>
      <c r="E125" s="9" t="s">
        <v>715</v>
      </c>
      <c r="F125" s="9" t="s">
        <v>715</v>
      </c>
      <c r="G125" s="5">
        <f t="shared" si="4"/>
        <v>1</v>
      </c>
      <c r="H125">
        <f t="shared" si="5"/>
        <v>1</v>
      </c>
      <c r="I125">
        <f t="shared" si="6"/>
        <v>1</v>
      </c>
      <c r="J125">
        <f t="shared" si="7"/>
        <v>0</v>
      </c>
    </row>
    <row r="126" spans="4:10" x14ac:dyDescent="0.25">
      <c r="D126" s="8" t="s">
        <v>329</v>
      </c>
      <c r="E126" s="8" t="s">
        <v>723</v>
      </c>
      <c r="F126" s="8" t="s">
        <v>329</v>
      </c>
      <c r="G126" s="5">
        <f t="shared" si="4"/>
        <v>1</v>
      </c>
      <c r="H126">
        <f t="shared" si="5"/>
        <v>1</v>
      </c>
      <c r="I126">
        <f t="shared" si="6"/>
        <v>0</v>
      </c>
      <c r="J126">
        <f t="shared" si="7"/>
        <v>0</v>
      </c>
    </row>
    <row r="127" spans="4:10" x14ac:dyDescent="0.25">
      <c r="D127" s="9" t="s">
        <v>32</v>
      </c>
      <c r="E127" s="9" t="s">
        <v>728</v>
      </c>
      <c r="F127" s="9" t="s">
        <v>32</v>
      </c>
      <c r="G127" s="5">
        <f t="shared" si="4"/>
        <v>0</v>
      </c>
      <c r="H127">
        <f t="shared" si="5"/>
        <v>1</v>
      </c>
      <c r="I127">
        <f t="shared" si="6"/>
        <v>1</v>
      </c>
      <c r="J127">
        <f t="shared" si="7"/>
        <v>0</v>
      </c>
    </row>
    <row r="128" spans="4:10" x14ac:dyDescent="0.25">
      <c r="D128" s="8" t="s">
        <v>329</v>
      </c>
      <c r="E128" s="8" t="s">
        <v>721</v>
      </c>
      <c r="F128" s="8" t="s">
        <v>732</v>
      </c>
      <c r="G128" s="5">
        <f t="shared" si="4"/>
        <v>1</v>
      </c>
      <c r="H128">
        <f t="shared" si="5"/>
        <v>1</v>
      </c>
      <c r="I128">
        <f t="shared" si="6"/>
        <v>1</v>
      </c>
      <c r="J128">
        <f t="shared" si="7"/>
        <v>1</v>
      </c>
    </row>
    <row r="129" spans="4:10" x14ac:dyDescent="0.25">
      <c r="D129" s="9" t="s">
        <v>32</v>
      </c>
      <c r="E129" s="9" t="s">
        <v>719</v>
      </c>
      <c r="F129" s="9" t="s">
        <v>369</v>
      </c>
      <c r="G129" s="5">
        <f t="shared" si="4"/>
        <v>1</v>
      </c>
      <c r="H129">
        <f t="shared" si="5"/>
        <v>1</v>
      </c>
      <c r="I129">
        <f t="shared" si="6"/>
        <v>0</v>
      </c>
      <c r="J129">
        <f t="shared" si="7"/>
        <v>1</v>
      </c>
    </row>
    <row r="130" spans="4:10" x14ac:dyDescent="0.25">
      <c r="D130" s="8" t="s">
        <v>329</v>
      </c>
      <c r="E130" s="8" t="s">
        <v>717</v>
      </c>
      <c r="F130" s="8" t="s">
        <v>717</v>
      </c>
      <c r="G130" s="5">
        <f t="shared" si="4"/>
        <v>1</v>
      </c>
      <c r="H130">
        <f t="shared" si="5"/>
        <v>0</v>
      </c>
      <c r="I130">
        <f t="shared" si="6"/>
        <v>1</v>
      </c>
      <c r="J130">
        <f t="shared" si="7"/>
        <v>0</v>
      </c>
    </row>
    <row r="131" spans="4:10" x14ac:dyDescent="0.25">
      <c r="D131" s="9" t="s">
        <v>32</v>
      </c>
      <c r="E131" s="9" t="s">
        <v>719</v>
      </c>
      <c r="F131" s="9" t="s">
        <v>723</v>
      </c>
      <c r="G131" s="5">
        <f t="shared" ref="G131:G151" si="8">IF(OR(ISNUMBER(SEARCH("jazzcash", D131)), ISNUMBER(SEARCH("jazzcash", E131)), ISNUMBER(SEARCH("jazzcash", F131))), 1, 0)</f>
        <v>1</v>
      </c>
      <c r="H131">
        <f t="shared" ref="H131:H151" si="9">IF(OR(ISNUMBER(SEARCH("easypaisa", D131)), ISNUMBER(SEARCH("easypaisa", E131)), ISNUMBER(SEARCH("easypaisa", F131))), 1, 0)</f>
        <v>1</v>
      </c>
      <c r="I131">
        <f t="shared" ref="I131:I151" si="10">IF(OR(ISNUMBER(SEARCH("sadapay", D131)), ISNUMBER(SEARCH("sadapay", E131)), ISNUMBER(SEARCH("sadapay", F131))), 1, 0)</f>
        <v>0</v>
      </c>
      <c r="J131">
        <f t="shared" ref="J131:J151" si="11">IF(OR(ISNUMBER(SEARCH("nayapay", D131)), ISNUMBER(SEARCH("nayapay", E131)), ISNUMBER(SEARCH("nayapay", F131))), 1, 0)</f>
        <v>1</v>
      </c>
    </row>
    <row r="132" spans="4:10" x14ac:dyDescent="0.25">
      <c r="D132" s="8" t="s">
        <v>329</v>
      </c>
      <c r="E132" s="8" t="s">
        <v>329</v>
      </c>
      <c r="F132" s="8" t="s">
        <v>329</v>
      </c>
      <c r="G132" s="5">
        <f t="shared" si="8"/>
        <v>1</v>
      </c>
      <c r="H132">
        <f t="shared" si="9"/>
        <v>0</v>
      </c>
      <c r="I132">
        <f t="shared" si="10"/>
        <v>0</v>
      </c>
      <c r="J132">
        <f t="shared" si="11"/>
        <v>0</v>
      </c>
    </row>
    <row r="133" spans="4:10" x14ac:dyDescent="0.25">
      <c r="D133" s="9" t="s">
        <v>329</v>
      </c>
      <c r="E133" s="9" t="s">
        <v>715</v>
      </c>
      <c r="F133" s="9" t="s">
        <v>715</v>
      </c>
      <c r="G133" s="5">
        <f t="shared" si="8"/>
        <v>1</v>
      </c>
      <c r="H133">
        <f t="shared" si="9"/>
        <v>1</v>
      </c>
      <c r="I133">
        <f t="shared" si="10"/>
        <v>1</v>
      </c>
      <c r="J133">
        <f t="shared" si="11"/>
        <v>0</v>
      </c>
    </row>
    <row r="134" spans="4:10" x14ac:dyDescent="0.25">
      <c r="D134" s="8" t="s">
        <v>32</v>
      </c>
      <c r="E134" s="8" t="s">
        <v>32</v>
      </c>
      <c r="F134" s="8" t="s">
        <v>32</v>
      </c>
      <c r="G134" s="5">
        <f t="shared" si="8"/>
        <v>0</v>
      </c>
      <c r="H134">
        <f t="shared" si="9"/>
        <v>1</v>
      </c>
      <c r="I134">
        <f t="shared" si="10"/>
        <v>0</v>
      </c>
      <c r="J134">
        <f t="shared" si="11"/>
        <v>0</v>
      </c>
    </row>
    <row r="135" spans="4:10" x14ac:dyDescent="0.25">
      <c r="D135" s="9" t="s">
        <v>329</v>
      </c>
      <c r="E135" s="9" t="s">
        <v>369</v>
      </c>
      <c r="F135" s="9" t="s">
        <v>369</v>
      </c>
      <c r="G135" s="5">
        <f t="shared" si="8"/>
        <v>1</v>
      </c>
      <c r="H135">
        <f t="shared" si="9"/>
        <v>0</v>
      </c>
      <c r="I135">
        <f t="shared" si="10"/>
        <v>0</v>
      </c>
      <c r="J135">
        <f t="shared" si="11"/>
        <v>1</v>
      </c>
    </row>
    <row r="136" spans="4:10" x14ac:dyDescent="0.25">
      <c r="D136" s="8" t="s">
        <v>329</v>
      </c>
      <c r="E136" s="8" t="s">
        <v>725</v>
      </c>
      <c r="F136" s="8" t="s">
        <v>725</v>
      </c>
      <c r="G136" s="5">
        <f t="shared" si="8"/>
        <v>1</v>
      </c>
      <c r="H136">
        <f t="shared" si="9"/>
        <v>0</v>
      </c>
      <c r="I136">
        <f t="shared" si="10"/>
        <v>0</v>
      </c>
      <c r="J136">
        <f t="shared" si="11"/>
        <v>1</v>
      </c>
    </row>
    <row r="137" spans="4:10" x14ac:dyDescent="0.25">
      <c r="D137" s="9" t="s">
        <v>717</v>
      </c>
      <c r="E137" s="9" t="s">
        <v>717</v>
      </c>
      <c r="F137" s="9" t="s">
        <v>717</v>
      </c>
      <c r="G137" s="5">
        <f t="shared" si="8"/>
        <v>0</v>
      </c>
      <c r="H137">
        <f t="shared" si="9"/>
        <v>0</v>
      </c>
      <c r="I137">
        <f t="shared" si="10"/>
        <v>1</v>
      </c>
      <c r="J137">
        <f t="shared" si="11"/>
        <v>0</v>
      </c>
    </row>
    <row r="138" spans="4:10" x14ac:dyDescent="0.25">
      <c r="D138" s="8" t="s">
        <v>329</v>
      </c>
      <c r="E138" s="8" t="s">
        <v>726</v>
      </c>
      <c r="F138" s="8" t="s">
        <v>329</v>
      </c>
      <c r="G138" s="5">
        <f t="shared" si="8"/>
        <v>1</v>
      </c>
      <c r="H138">
        <f t="shared" si="9"/>
        <v>0</v>
      </c>
      <c r="I138">
        <f t="shared" si="10"/>
        <v>1</v>
      </c>
      <c r="J138">
        <f t="shared" si="11"/>
        <v>0</v>
      </c>
    </row>
    <row r="139" spans="4:10" x14ac:dyDescent="0.25">
      <c r="D139" s="9" t="s">
        <v>32</v>
      </c>
      <c r="E139" s="9" t="s">
        <v>721</v>
      </c>
      <c r="F139" s="9" t="s">
        <v>727</v>
      </c>
      <c r="G139" s="5">
        <f t="shared" si="8"/>
        <v>1</v>
      </c>
      <c r="H139">
        <f t="shared" si="9"/>
        <v>1</v>
      </c>
      <c r="I139">
        <f t="shared" si="10"/>
        <v>1</v>
      </c>
      <c r="J139">
        <f t="shared" si="11"/>
        <v>1</v>
      </c>
    </row>
    <row r="140" spans="4:10" x14ac:dyDescent="0.25">
      <c r="D140" s="8" t="s">
        <v>32</v>
      </c>
      <c r="E140" s="8" t="s">
        <v>32</v>
      </c>
      <c r="F140" s="8" t="s">
        <v>32</v>
      </c>
      <c r="G140" s="5">
        <f t="shared" si="8"/>
        <v>0</v>
      </c>
      <c r="H140">
        <f t="shared" si="9"/>
        <v>1</v>
      </c>
      <c r="I140">
        <f t="shared" si="10"/>
        <v>0</v>
      </c>
      <c r="J140">
        <f t="shared" si="11"/>
        <v>0</v>
      </c>
    </row>
    <row r="141" spans="4:10" x14ac:dyDescent="0.25">
      <c r="D141" s="9" t="s">
        <v>329</v>
      </c>
      <c r="E141" s="9" t="s">
        <v>723</v>
      </c>
      <c r="F141" s="9" t="s">
        <v>329</v>
      </c>
      <c r="G141" s="5">
        <f t="shared" si="8"/>
        <v>1</v>
      </c>
      <c r="H141">
        <f t="shared" si="9"/>
        <v>1</v>
      </c>
      <c r="I141">
        <f t="shared" si="10"/>
        <v>0</v>
      </c>
      <c r="J141">
        <f t="shared" si="11"/>
        <v>0</v>
      </c>
    </row>
    <row r="142" spans="4:10" x14ac:dyDescent="0.25">
      <c r="D142" s="8" t="s">
        <v>329</v>
      </c>
      <c r="E142" s="8" t="s">
        <v>723</v>
      </c>
      <c r="F142" s="8" t="s">
        <v>329</v>
      </c>
      <c r="G142" s="5">
        <f t="shared" si="8"/>
        <v>1</v>
      </c>
      <c r="H142">
        <f t="shared" si="9"/>
        <v>1</v>
      </c>
      <c r="I142">
        <f t="shared" si="10"/>
        <v>0</v>
      </c>
      <c r="J142">
        <f t="shared" si="11"/>
        <v>0</v>
      </c>
    </row>
    <row r="143" spans="4:10" x14ac:dyDescent="0.25">
      <c r="D143" s="9" t="s">
        <v>717</v>
      </c>
      <c r="E143" s="9" t="s">
        <v>721</v>
      </c>
      <c r="F143" s="9" t="s">
        <v>721</v>
      </c>
      <c r="G143" s="5">
        <f t="shared" si="8"/>
        <v>1</v>
      </c>
      <c r="H143">
        <f t="shared" si="9"/>
        <v>1</v>
      </c>
      <c r="I143">
        <f t="shared" si="10"/>
        <v>1</v>
      </c>
      <c r="J143">
        <f t="shared" si="11"/>
        <v>1</v>
      </c>
    </row>
    <row r="144" spans="4:10" x14ac:dyDescent="0.25">
      <c r="D144" s="8" t="s">
        <v>329</v>
      </c>
      <c r="E144" s="8" t="s">
        <v>329</v>
      </c>
      <c r="F144" s="8" t="s">
        <v>329</v>
      </c>
      <c r="G144" s="5">
        <f t="shared" si="8"/>
        <v>1</v>
      </c>
      <c r="H144">
        <f t="shared" si="9"/>
        <v>0</v>
      </c>
      <c r="I144">
        <f t="shared" si="10"/>
        <v>0</v>
      </c>
      <c r="J144">
        <f t="shared" si="11"/>
        <v>0</v>
      </c>
    </row>
    <row r="145" spans="4:11" x14ac:dyDescent="0.25">
      <c r="D145" s="9" t="s">
        <v>369</v>
      </c>
      <c r="E145" s="9" t="s">
        <v>724</v>
      </c>
      <c r="F145" s="9" t="s">
        <v>724</v>
      </c>
      <c r="G145" s="5">
        <f t="shared" si="8"/>
        <v>1</v>
      </c>
      <c r="H145">
        <f t="shared" si="9"/>
        <v>0</v>
      </c>
      <c r="I145">
        <f t="shared" si="10"/>
        <v>1</v>
      </c>
      <c r="J145">
        <f t="shared" si="11"/>
        <v>1</v>
      </c>
    </row>
    <row r="146" spans="4:11" x14ac:dyDescent="0.25">
      <c r="D146" s="8" t="s">
        <v>32</v>
      </c>
      <c r="E146" s="8" t="s">
        <v>32</v>
      </c>
      <c r="F146" s="8" t="s">
        <v>721</v>
      </c>
      <c r="G146" s="5">
        <f t="shared" si="8"/>
        <v>1</v>
      </c>
      <c r="H146">
        <f t="shared" si="9"/>
        <v>1</v>
      </c>
      <c r="I146">
        <f t="shared" si="10"/>
        <v>1</v>
      </c>
      <c r="J146">
        <f t="shared" si="11"/>
        <v>1</v>
      </c>
    </row>
    <row r="147" spans="4:11" x14ac:dyDescent="0.25">
      <c r="D147" s="9" t="s">
        <v>329</v>
      </c>
      <c r="E147" s="9" t="s">
        <v>715</v>
      </c>
      <c r="F147" s="9" t="s">
        <v>723</v>
      </c>
      <c r="G147" s="5">
        <f t="shared" si="8"/>
        <v>1</v>
      </c>
      <c r="H147">
        <f t="shared" si="9"/>
        <v>1</v>
      </c>
      <c r="I147">
        <f t="shared" si="10"/>
        <v>1</v>
      </c>
      <c r="J147">
        <f t="shared" si="11"/>
        <v>0</v>
      </c>
    </row>
    <row r="148" spans="4:11" x14ac:dyDescent="0.25">
      <c r="D148" s="8" t="s">
        <v>329</v>
      </c>
      <c r="E148" s="8" t="s">
        <v>721</v>
      </c>
      <c r="F148" s="8" t="s">
        <v>721</v>
      </c>
      <c r="G148" s="5">
        <f t="shared" si="8"/>
        <v>1</v>
      </c>
      <c r="H148">
        <f t="shared" si="9"/>
        <v>1</v>
      </c>
      <c r="I148">
        <f t="shared" si="10"/>
        <v>1</v>
      </c>
      <c r="J148">
        <f t="shared" si="11"/>
        <v>1</v>
      </c>
    </row>
    <row r="149" spans="4:11" x14ac:dyDescent="0.25">
      <c r="D149" s="9" t="s">
        <v>329</v>
      </c>
      <c r="E149" s="9" t="s">
        <v>721</v>
      </c>
      <c r="F149" s="9" t="s">
        <v>369</v>
      </c>
      <c r="G149" s="5">
        <f t="shared" si="8"/>
        <v>1</v>
      </c>
      <c r="H149">
        <f t="shared" si="9"/>
        <v>1</v>
      </c>
      <c r="I149">
        <f t="shared" si="10"/>
        <v>1</v>
      </c>
      <c r="J149">
        <f t="shared" si="11"/>
        <v>1</v>
      </c>
    </row>
    <row r="150" spans="4:11" x14ac:dyDescent="0.25">
      <c r="D150" s="8" t="s">
        <v>32</v>
      </c>
      <c r="E150" s="8" t="s">
        <v>32</v>
      </c>
      <c r="F150" s="8" t="s">
        <v>723</v>
      </c>
      <c r="G150" s="5">
        <f t="shared" si="8"/>
        <v>1</v>
      </c>
      <c r="H150">
        <f t="shared" si="9"/>
        <v>1</v>
      </c>
      <c r="I150">
        <f t="shared" si="10"/>
        <v>0</v>
      </c>
      <c r="J150">
        <f t="shared" si="11"/>
        <v>0</v>
      </c>
    </row>
    <row r="151" spans="4:11" x14ac:dyDescent="0.25">
      <c r="D151" s="9" t="s">
        <v>329</v>
      </c>
      <c r="E151" s="9" t="s">
        <v>721</v>
      </c>
      <c r="F151" s="9" t="s">
        <v>724</v>
      </c>
      <c r="G151" s="5">
        <f t="shared" si="8"/>
        <v>1</v>
      </c>
      <c r="H151">
        <f t="shared" si="9"/>
        <v>1</v>
      </c>
      <c r="I151">
        <f t="shared" si="10"/>
        <v>1</v>
      </c>
      <c r="J151">
        <f t="shared" si="11"/>
        <v>1</v>
      </c>
    </row>
    <row r="152" spans="4:11" x14ac:dyDescent="0.25">
      <c r="G152" s="5">
        <f>SUM(G2:G151)</f>
        <v>114</v>
      </c>
      <c r="H152">
        <f>SUM(H2:H151)</f>
        <v>100</v>
      </c>
      <c r="I152">
        <f>SUM(I2:I151)</f>
        <v>61</v>
      </c>
      <c r="J152">
        <f>SUM(J2:J151)</f>
        <v>55</v>
      </c>
    </row>
    <row r="154" spans="4:11" x14ac:dyDescent="0.25">
      <c r="G154" s="10">
        <f>G152/150</f>
        <v>0.76</v>
      </c>
      <c r="H154" s="10">
        <f>H152/150</f>
        <v>0.66666666666666663</v>
      </c>
      <c r="I154" s="10">
        <f>I152/150</f>
        <v>0.40666666666666668</v>
      </c>
      <c r="J154" s="10">
        <f>J152/150</f>
        <v>0.36666666666666664</v>
      </c>
    </row>
    <row r="158" spans="4:11" x14ac:dyDescent="0.25">
      <c r="K158" s="14"/>
    </row>
    <row r="177" spans="21:21" x14ac:dyDescent="0.25">
      <c r="U177" s="10"/>
    </row>
    <row r="309" spans="2:2" x14ac:dyDescent="0.25">
      <c r="B309" s="6"/>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4B5A6-D3B8-49D6-98D0-CA1722BC0B26}">
  <dimension ref="A1:B299"/>
  <sheetViews>
    <sheetView workbookViewId="0">
      <selection activeCell="B1" sqref="B1"/>
    </sheetView>
  </sheetViews>
  <sheetFormatPr defaultRowHeight="12.5" x14ac:dyDescent="0.25"/>
  <cols>
    <col min="1" max="1" width="7.7265625" bestFit="1" customWidth="1"/>
    <col min="2" max="2" width="8.90625" bestFit="1" customWidth="1"/>
    <col min="3" max="3" width="24.36328125" bestFit="1" customWidth="1"/>
    <col min="4" max="4" width="8.90625" bestFit="1" customWidth="1"/>
  </cols>
  <sheetData>
    <row r="1" spans="1:2" x14ac:dyDescent="0.25">
      <c r="A1" t="s">
        <v>755</v>
      </c>
      <c r="B1" t="s">
        <v>756</v>
      </c>
    </row>
    <row r="2" spans="1:2" x14ac:dyDescent="0.25">
      <c r="A2">
        <v>1</v>
      </c>
      <c r="B2" t="s">
        <v>329</v>
      </c>
    </row>
    <row r="3" spans="1:2" x14ac:dyDescent="0.25">
      <c r="A3">
        <v>2</v>
      </c>
      <c r="B3" t="s">
        <v>32</v>
      </c>
    </row>
    <row r="4" spans="1:2" x14ac:dyDescent="0.25">
      <c r="A4">
        <v>3</v>
      </c>
      <c r="B4" t="s">
        <v>717</v>
      </c>
    </row>
    <row r="5" spans="1:2" x14ac:dyDescent="0.25">
      <c r="A5">
        <v>4</v>
      </c>
      <c r="B5" t="s">
        <v>32</v>
      </c>
    </row>
    <row r="6" spans="1:2" x14ac:dyDescent="0.25">
      <c r="A6">
        <v>5</v>
      </c>
      <c r="B6" t="s">
        <v>717</v>
      </c>
    </row>
    <row r="7" spans="1:2" x14ac:dyDescent="0.25">
      <c r="A7">
        <v>6</v>
      </c>
      <c r="B7" t="s">
        <v>329</v>
      </c>
    </row>
    <row r="8" spans="1:2" x14ac:dyDescent="0.25">
      <c r="A8">
        <v>7</v>
      </c>
      <c r="B8" t="s">
        <v>32</v>
      </c>
    </row>
    <row r="9" spans="1:2" x14ac:dyDescent="0.25">
      <c r="A9">
        <v>8</v>
      </c>
      <c r="B9" t="s">
        <v>369</v>
      </c>
    </row>
    <row r="10" spans="1:2" x14ac:dyDescent="0.25">
      <c r="A10">
        <v>9</v>
      </c>
      <c r="B10" t="s">
        <v>329</v>
      </c>
    </row>
    <row r="11" spans="1:2" x14ac:dyDescent="0.25">
      <c r="A11">
        <v>10</v>
      </c>
      <c r="B11" t="s">
        <v>32</v>
      </c>
    </row>
    <row r="12" spans="1:2" x14ac:dyDescent="0.25">
      <c r="A12">
        <v>11</v>
      </c>
      <c r="B12" t="s">
        <v>717</v>
      </c>
    </row>
    <row r="13" spans="1:2" x14ac:dyDescent="0.25">
      <c r="A13">
        <v>12</v>
      </c>
      <c r="B13" t="s">
        <v>369</v>
      </c>
    </row>
    <row r="14" spans="1:2" x14ac:dyDescent="0.25">
      <c r="A14">
        <v>13</v>
      </c>
      <c r="B14" t="s">
        <v>32</v>
      </c>
    </row>
    <row r="15" spans="1:2" x14ac:dyDescent="0.25">
      <c r="A15">
        <v>14</v>
      </c>
      <c r="B15" t="s">
        <v>32</v>
      </c>
    </row>
    <row r="16" spans="1:2" x14ac:dyDescent="0.25">
      <c r="A16">
        <v>15</v>
      </c>
      <c r="B16" t="s">
        <v>329</v>
      </c>
    </row>
    <row r="17" spans="1:2" x14ac:dyDescent="0.25">
      <c r="A17">
        <v>16</v>
      </c>
      <c r="B17" t="s">
        <v>717</v>
      </c>
    </row>
    <row r="18" spans="1:2" x14ac:dyDescent="0.25">
      <c r="A18">
        <v>17</v>
      </c>
      <c r="B18" t="s">
        <v>369</v>
      </c>
    </row>
    <row r="19" spans="1:2" x14ac:dyDescent="0.25">
      <c r="A19">
        <v>18</v>
      </c>
      <c r="B19" t="s">
        <v>329</v>
      </c>
    </row>
    <row r="20" spans="1:2" x14ac:dyDescent="0.25">
      <c r="A20">
        <v>19</v>
      </c>
      <c r="B20" t="s">
        <v>717</v>
      </c>
    </row>
    <row r="21" spans="1:2" x14ac:dyDescent="0.25">
      <c r="A21">
        <v>20</v>
      </c>
      <c r="B21" t="s">
        <v>717</v>
      </c>
    </row>
    <row r="22" spans="1:2" x14ac:dyDescent="0.25">
      <c r="A22">
        <v>21</v>
      </c>
      <c r="B22" t="s">
        <v>329</v>
      </c>
    </row>
    <row r="23" spans="1:2" x14ac:dyDescent="0.25">
      <c r="A23">
        <v>22</v>
      </c>
      <c r="B23" t="s">
        <v>369</v>
      </c>
    </row>
    <row r="24" spans="1:2" x14ac:dyDescent="0.25">
      <c r="A24">
        <v>23</v>
      </c>
      <c r="B24" t="s">
        <v>329</v>
      </c>
    </row>
    <row r="25" spans="1:2" x14ac:dyDescent="0.25">
      <c r="A25">
        <v>24</v>
      </c>
      <c r="B25" t="s">
        <v>32</v>
      </c>
    </row>
    <row r="26" spans="1:2" x14ac:dyDescent="0.25">
      <c r="A26">
        <v>25</v>
      </c>
      <c r="B26" t="s">
        <v>717</v>
      </c>
    </row>
    <row r="27" spans="1:2" x14ac:dyDescent="0.25">
      <c r="A27">
        <v>26</v>
      </c>
      <c r="B27" t="s">
        <v>369</v>
      </c>
    </row>
    <row r="28" spans="1:2" x14ac:dyDescent="0.25">
      <c r="A28">
        <v>27</v>
      </c>
      <c r="B28" t="s">
        <v>32</v>
      </c>
    </row>
    <row r="29" spans="1:2" x14ac:dyDescent="0.25">
      <c r="A29">
        <v>28</v>
      </c>
      <c r="B29" t="s">
        <v>369</v>
      </c>
    </row>
    <row r="30" spans="1:2" x14ac:dyDescent="0.25">
      <c r="A30">
        <v>29</v>
      </c>
      <c r="B30" t="s">
        <v>329</v>
      </c>
    </row>
    <row r="31" spans="1:2" x14ac:dyDescent="0.25">
      <c r="A31">
        <v>30</v>
      </c>
      <c r="B31" t="s">
        <v>32</v>
      </c>
    </row>
    <row r="32" spans="1:2" x14ac:dyDescent="0.25">
      <c r="A32">
        <v>31</v>
      </c>
      <c r="B32" t="s">
        <v>717</v>
      </c>
    </row>
    <row r="33" spans="1:2" x14ac:dyDescent="0.25">
      <c r="A33">
        <v>32</v>
      </c>
      <c r="B33" t="s">
        <v>329</v>
      </c>
    </row>
    <row r="34" spans="1:2" x14ac:dyDescent="0.25">
      <c r="A34">
        <v>33</v>
      </c>
      <c r="B34" t="s">
        <v>32</v>
      </c>
    </row>
    <row r="35" spans="1:2" x14ac:dyDescent="0.25">
      <c r="A35">
        <v>34</v>
      </c>
      <c r="B35" t="s">
        <v>329</v>
      </c>
    </row>
    <row r="36" spans="1:2" x14ac:dyDescent="0.25">
      <c r="A36">
        <v>35</v>
      </c>
      <c r="B36" t="s">
        <v>32</v>
      </c>
    </row>
    <row r="37" spans="1:2" x14ac:dyDescent="0.25">
      <c r="A37">
        <v>36</v>
      </c>
      <c r="B37" t="s">
        <v>717</v>
      </c>
    </row>
    <row r="38" spans="1:2" x14ac:dyDescent="0.25">
      <c r="A38">
        <v>37</v>
      </c>
      <c r="B38" t="s">
        <v>369</v>
      </c>
    </row>
    <row r="39" spans="1:2" x14ac:dyDescent="0.25">
      <c r="A39">
        <v>38</v>
      </c>
      <c r="B39" t="s">
        <v>329</v>
      </c>
    </row>
    <row r="40" spans="1:2" x14ac:dyDescent="0.25">
      <c r="A40">
        <v>39</v>
      </c>
      <c r="B40" t="s">
        <v>32</v>
      </c>
    </row>
    <row r="41" spans="1:2" x14ac:dyDescent="0.25">
      <c r="A41">
        <v>40</v>
      </c>
      <c r="B41" t="s">
        <v>717</v>
      </c>
    </row>
    <row r="42" spans="1:2" x14ac:dyDescent="0.25">
      <c r="A42">
        <v>41</v>
      </c>
      <c r="B42" t="s">
        <v>369</v>
      </c>
    </row>
    <row r="43" spans="1:2" x14ac:dyDescent="0.25">
      <c r="A43">
        <v>42</v>
      </c>
      <c r="B43" t="s">
        <v>32</v>
      </c>
    </row>
    <row r="44" spans="1:2" x14ac:dyDescent="0.25">
      <c r="A44">
        <v>43</v>
      </c>
      <c r="B44" t="s">
        <v>717</v>
      </c>
    </row>
    <row r="45" spans="1:2" x14ac:dyDescent="0.25">
      <c r="A45">
        <v>44</v>
      </c>
      <c r="B45" t="s">
        <v>329</v>
      </c>
    </row>
    <row r="46" spans="1:2" x14ac:dyDescent="0.25">
      <c r="A46">
        <v>45</v>
      </c>
      <c r="B46" t="s">
        <v>32</v>
      </c>
    </row>
    <row r="47" spans="1:2" x14ac:dyDescent="0.25">
      <c r="A47">
        <v>46</v>
      </c>
      <c r="B47" t="s">
        <v>717</v>
      </c>
    </row>
    <row r="48" spans="1:2" x14ac:dyDescent="0.25">
      <c r="A48">
        <v>47</v>
      </c>
      <c r="B48" t="s">
        <v>369</v>
      </c>
    </row>
    <row r="49" spans="1:2" x14ac:dyDescent="0.25">
      <c r="A49">
        <v>48</v>
      </c>
      <c r="B49" t="s">
        <v>329</v>
      </c>
    </row>
    <row r="50" spans="1:2" x14ac:dyDescent="0.25">
      <c r="A50">
        <v>49</v>
      </c>
      <c r="B50" t="s">
        <v>329</v>
      </c>
    </row>
    <row r="51" spans="1:2" x14ac:dyDescent="0.25">
      <c r="A51">
        <v>50</v>
      </c>
      <c r="B51" t="s">
        <v>717</v>
      </c>
    </row>
    <row r="52" spans="1:2" x14ac:dyDescent="0.25">
      <c r="A52">
        <v>51</v>
      </c>
      <c r="B52" t="s">
        <v>369</v>
      </c>
    </row>
    <row r="53" spans="1:2" x14ac:dyDescent="0.25">
      <c r="A53">
        <v>52</v>
      </c>
      <c r="B53" t="s">
        <v>329</v>
      </c>
    </row>
    <row r="54" spans="1:2" x14ac:dyDescent="0.25">
      <c r="A54">
        <v>53</v>
      </c>
      <c r="B54" t="s">
        <v>329</v>
      </c>
    </row>
    <row r="55" spans="1:2" x14ac:dyDescent="0.25">
      <c r="A55">
        <v>54</v>
      </c>
      <c r="B55" t="s">
        <v>32</v>
      </c>
    </row>
    <row r="56" spans="1:2" x14ac:dyDescent="0.25">
      <c r="A56">
        <v>55</v>
      </c>
      <c r="B56" t="s">
        <v>369</v>
      </c>
    </row>
    <row r="57" spans="1:2" x14ac:dyDescent="0.25">
      <c r="A57">
        <v>56</v>
      </c>
      <c r="B57" t="s">
        <v>32</v>
      </c>
    </row>
    <row r="58" spans="1:2" x14ac:dyDescent="0.25">
      <c r="A58">
        <v>57</v>
      </c>
      <c r="B58" t="s">
        <v>329</v>
      </c>
    </row>
    <row r="59" spans="1:2" x14ac:dyDescent="0.25">
      <c r="A59">
        <v>58</v>
      </c>
      <c r="B59" t="s">
        <v>329</v>
      </c>
    </row>
    <row r="60" spans="1:2" x14ac:dyDescent="0.25">
      <c r="A60">
        <v>59</v>
      </c>
      <c r="B60" t="s">
        <v>329</v>
      </c>
    </row>
    <row r="61" spans="1:2" x14ac:dyDescent="0.25">
      <c r="A61">
        <v>60</v>
      </c>
      <c r="B61" t="s">
        <v>32</v>
      </c>
    </row>
    <row r="62" spans="1:2" x14ac:dyDescent="0.25">
      <c r="A62">
        <v>61</v>
      </c>
      <c r="B62" t="s">
        <v>717</v>
      </c>
    </row>
    <row r="63" spans="1:2" x14ac:dyDescent="0.25">
      <c r="A63">
        <v>62</v>
      </c>
      <c r="B63" t="s">
        <v>32</v>
      </c>
    </row>
    <row r="64" spans="1:2" x14ac:dyDescent="0.25">
      <c r="A64">
        <v>63</v>
      </c>
      <c r="B64" t="s">
        <v>369</v>
      </c>
    </row>
    <row r="65" spans="1:2" x14ac:dyDescent="0.25">
      <c r="A65">
        <v>64</v>
      </c>
      <c r="B65" t="s">
        <v>329</v>
      </c>
    </row>
    <row r="66" spans="1:2" x14ac:dyDescent="0.25">
      <c r="A66">
        <v>65</v>
      </c>
      <c r="B66" t="s">
        <v>329</v>
      </c>
    </row>
    <row r="67" spans="1:2" x14ac:dyDescent="0.25">
      <c r="A67">
        <v>66</v>
      </c>
      <c r="B67" t="s">
        <v>32</v>
      </c>
    </row>
    <row r="68" spans="1:2" x14ac:dyDescent="0.25">
      <c r="A68">
        <v>67</v>
      </c>
      <c r="B68" t="s">
        <v>717</v>
      </c>
    </row>
    <row r="69" spans="1:2" x14ac:dyDescent="0.25">
      <c r="A69">
        <v>68</v>
      </c>
      <c r="B69" t="s">
        <v>369</v>
      </c>
    </row>
    <row r="70" spans="1:2" x14ac:dyDescent="0.25">
      <c r="A70">
        <v>69</v>
      </c>
      <c r="B70" t="s">
        <v>329</v>
      </c>
    </row>
    <row r="71" spans="1:2" x14ac:dyDescent="0.25">
      <c r="A71">
        <v>70</v>
      </c>
      <c r="B71" t="s">
        <v>717</v>
      </c>
    </row>
    <row r="72" spans="1:2" x14ac:dyDescent="0.25">
      <c r="A72">
        <v>71</v>
      </c>
      <c r="B72" t="s">
        <v>32</v>
      </c>
    </row>
    <row r="73" spans="1:2" x14ac:dyDescent="0.25">
      <c r="A73">
        <v>72</v>
      </c>
      <c r="B73" t="s">
        <v>717</v>
      </c>
    </row>
    <row r="74" spans="1:2" x14ac:dyDescent="0.25">
      <c r="A74">
        <v>73</v>
      </c>
      <c r="B74" t="s">
        <v>329</v>
      </c>
    </row>
    <row r="75" spans="1:2" x14ac:dyDescent="0.25">
      <c r="A75">
        <v>74</v>
      </c>
      <c r="B75" t="s">
        <v>329</v>
      </c>
    </row>
    <row r="76" spans="1:2" x14ac:dyDescent="0.25">
      <c r="A76">
        <v>75</v>
      </c>
      <c r="B76" t="s">
        <v>32</v>
      </c>
    </row>
    <row r="77" spans="1:2" x14ac:dyDescent="0.25">
      <c r="A77">
        <v>76</v>
      </c>
      <c r="B77" t="s">
        <v>329</v>
      </c>
    </row>
    <row r="78" spans="1:2" x14ac:dyDescent="0.25">
      <c r="A78">
        <v>77</v>
      </c>
      <c r="B78" t="s">
        <v>369</v>
      </c>
    </row>
    <row r="79" spans="1:2" x14ac:dyDescent="0.25">
      <c r="A79">
        <v>78</v>
      </c>
      <c r="B79" t="s">
        <v>329</v>
      </c>
    </row>
    <row r="80" spans="1:2" x14ac:dyDescent="0.25">
      <c r="A80">
        <v>79</v>
      </c>
      <c r="B80" t="s">
        <v>329</v>
      </c>
    </row>
    <row r="81" spans="1:2" x14ac:dyDescent="0.25">
      <c r="A81">
        <v>80</v>
      </c>
      <c r="B81" t="s">
        <v>329</v>
      </c>
    </row>
    <row r="82" spans="1:2" x14ac:dyDescent="0.25">
      <c r="A82">
        <v>81</v>
      </c>
      <c r="B82" t="s">
        <v>32</v>
      </c>
    </row>
    <row r="83" spans="1:2" x14ac:dyDescent="0.25">
      <c r="A83">
        <v>82</v>
      </c>
      <c r="B83" t="s">
        <v>717</v>
      </c>
    </row>
    <row r="84" spans="1:2" x14ac:dyDescent="0.25">
      <c r="A84">
        <v>83</v>
      </c>
      <c r="B84" t="s">
        <v>369</v>
      </c>
    </row>
    <row r="85" spans="1:2" x14ac:dyDescent="0.25">
      <c r="A85">
        <v>84</v>
      </c>
      <c r="B85" t="s">
        <v>369</v>
      </c>
    </row>
    <row r="86" spans="1:2" x14ac:dyDescent="0.25">
      <c r="A86">
        <v>85</v>
      </c>
      <c r="B86" t="s">
        <v>32</v>
      </c>
    </row>
    <row r="87" spans="1:2" x14ac:dyDescent="0.25">
      <c r="A87">
        <v>86</v>
      </c>
      <c r="B87" t="s">
        <v>329</v>
      </c>
    </row>
    <row r="88" spans="1:2" x14ac:dyDescent="0.25">
      <c r="A88">
        <v>87</v>
      </c>
      <c r="B88" t="s">
        <v>329</v>
      </c>
    </row>
    <row r="89" spans="1:2" x14ac:dyDescent="0.25">
      <c r="A89">
        <v>88</v>
      </c>
      <c r="B89" t="s">
        <v>329</v>
      </c>
    </row>
    <row r="90" spans="1:2" x14ac:dyDescent="0.25">
      <c r="A90">
        <v>89</v>
      </c>
      <c r="B90" t="s">
        <v>329</v>
      </c>
    </row>
    <row r="91" spans="1:2" x14ac:dyDescent="0.25">
      <c r="A91">
        <v>90</v>
      </c>
      <c r="B91" t="s">
        <v>32</v>
      </c>
    </row>
    <row r="92" spans="1:2" x14ac:dyDescent="0.25">
      <c r="A92">
        <v>91</v>
      </c>
      <c r="B92" t="s">
        <v>329</v>
      </c>
    </row>
    <row r="93" spans="1:2" x14ac:dyDescent="0.25">
      <c r="A93">
        <v>92</v>
      </c>
      <c r="B93" t="s">
        <v>32</v>
      </c>
    </row>
    <row r="94" spans="1:2" x14ac:dyDescent="0.25">
      <c r="A94">
        <v>93</v>
      </c>
      <c r="B94" t="s">
        <v>329</v>
      </c>
    </row>
    <row r="95" spans="1:2" x14ac:dyDescent="0.25">
      <c r="A95">
        <v>94</v>
      </c>
      <c r="B95" t="s">
        <v>32</v>
      </c>
    </row>
    <row r="96" spans="1:2" x14ac:dyDescent="0.25">
      <c r="A96">
        <v>95</v>
      </c>
      <c r="B96" t="s">
        <v>329</v>
      </c>
    </row>
    <row r="97" spans="1:2" x14ac:dyDescent="0.25">
      <c r="A97">
        <v>96</v>
      </c>
      <c r="B97" t="s">
        <v>32</v>
      </c>
    </row>
    <row r="98" spans="1:2" x14ac:dyDescent="0.25">
      <c r="A98">
        <v>97</v>
      </c>
      <c r="B98" t="s">
        <v>329</v>
      </c>
    </row>
    <row r="99" spans="1:2" x14ac:dyDescent="0.25">
      <c r="A99">
        <v>98</v>
      </c>
      <c r="B99" t="s">
        <v>32</v>
      </c>
    </row>
    <row r="100" spans="1:2" x14ac:dyDescent="0.25">
      <c r="A100">
        <v>99</v>
      </c>
      <c r="B100" t="s">
        <v>32</v>
      </c>
    </row>
    <row r="101" spans="1:2" x14ac:dyDescent="0.25">
      <c r="A101">
        <v>100</v>
      </c>
      <c r="B101" t="s">
        <v>32</v>
      </c>
    </row>
    <row r="102" spans="1:2" x14ac:dyDescent="0.25">
      <c r="A102">
        <v>101</v>
      </c>
      <c r="B102" t="s">
        <v>717</v>
      </c>
    </row>
    <row r="103" spans="1:2" x14ac:dyDescent="0.25">
      <c r="A103">
        <v>102</v>
      </c>
      <c r="B103" t="s">
        <v>717</v>
      </c>
    </row>
    <row r="104" spans="1:2" x14ac:dyDescent="0.25">
      <c r="A104">
        <v>103</v>
      </c>
      <c r="B104" t="s">
        <v>329</v>
      </c>
    </row>
    <row r="105" spans="1:2" x14ac:dyDescent="0.25">
      <c r="A105">
        <v>104</v>
      </c>
      <c r="B105" t="s">
        <v>32</v>
      </c>
    </row>
    <row r="106" spans="1:2" x14ac:dyDescent="0.25">
      <c r="A106">
        <v>105</v>
      </c>
      <c r="B106" t="s">
        <v>717</v>
      </c>
    </row>
    <row r="107" spans="1:2" x14ac:dyDescent="0.25">
      <c r="A107">
        <v>106</v>
      </c>
      <c r="B107" t="s">
        <v>32</v>
      </c>
    </row>
    <row r="108" spans="1:2" x14ac:dyDescent="0.25">
      <c r="A108">
        <v>107</v>
      </c>
      <c r="B108" t="s">
        <v>329</v>
      </c>
    </row>
    <row r="109" spans="1:2" x14ac:dyDescent="0.25">
      <c r="A109">
        <v>108</v>
      </c>
      <c r="B109" t="s">
        <v>717</v>
      </c>
    </row>
    <row r="110" spans="1:2" x14ac:dyDescent="0.25">
      <c r="A110">
        <v>109</v>
      </c>
      <c r="B110" t="s">
        <v>717</v>
      </c>
    </row>
    <row r="111" spans="1:2" x14ac:dyDescent="0.25">
      <c r="A111">
        <v>110</v>
      </c>
      <c r="B111" t="s">
        <v>369</v>
      </c>
    </row>
    <row r="112" spans="1:2" x14ac:dyDescent="0.25">
      <c r="A112">
        <v>111</v>
      </c>
      <c r="B112" t="s">
        <v>329</v>
      </c>
    </row>
    <row r="113" spans="1:2" x14ac:dyDescent="0.25">
      <c r="A113">
        <v>112</v>
      </c>
      <c r="B113" t="s">
        <v>32</v>
      </c>
    </row>
    <row r="114" spans="1:2" x14ac:dyDescent="0.25">
      <c r="A114">
        <v>113</v>
      </c>
      <c r="B114" t="s">
        <v>329</v>
      </c>
    </row>
    <row r="115" spans="1:2" x14ac:dyDescent="0.25">
      <c r="A115">
        <v>114</v>
      </c>
      <c r="B115" t="s">
        <v>32</v>
      </c>
    </row>
    <row r="116" spans="1:2" x14ac:dyDescent="0.25">
      <c r="A116">
        <v>115</v>
      </c>
      <c r="B116" t="s">
        <v>32</v>
      </c>
    </row>
    <row r="117" spans="1:2" x14ac:dyDescent="0.25">
      <c r="A117">
        <v>116</v>
      </c>
      <c r="B117" t="s">
        <v>369</v>
      </c>
    </row>
    <row r="118" spans="1:2" x14ac:dyDescent="0.25">
      <c r="A118">
        <v>117</v>
      </c>
      <c r="B118" t="s">
        <v>32</v>
      </c>
    </row>
    <row r="119" spans="1:2" x14ac:dyDescent="0.25">
      <c r="A119">
        <v>118</v>
      </c>
      <c r="B119" t="s">
        <v>32</v>
      </c>
    </row>
    <row r="120" spans="1:2" x14ac:dyDescent="0.25">
      <c r="A120">
        <v>119</v>
      </c>
      <c r="B120" t="s">
        <v>369</v>
      </c>
    </row>
    <row r="121" spans="1:2" x14ac:dyDescent="0.25">
      <c r="A121">
        <v>120</v>
      </c>
      <c r="B121" t="s">
        <v>329</v>
      </c>
    </row>
    <row r="122" spans="1:2" x14ac:dyDescent="0.25">
      <c r="A122">
        <v>121</v>
      </c>
      <c r="B122" t="s">
        <v>329</v>
      </c>
    </row>
    <row r="123" spans="1:2" x14ac:dyDescent="0.25">
      <c r="A123">
        <v>122</v>
      </c>
      <c r="B123" t="s">
        <v>329</v>
      </c>
    </row>
    <row r="124" spans="1:2" x14ac:dyDescent="0.25">
      <c r="A124">
        <v>123</v>
      </c>
      <c r="B124" t="s">
        <v>329</v>
      </c>
    </row>
    <row r="125" spans="1:2" x14ac:dyDescent="0.25">
      <c r="A125">
        <v>124</v>
      </c>
      <c r="B125" t="s">
        <v>32</v>
      </c>
    </row>
    <row r="126" spans="1:2" x14ac:dyDescent="0.25">
      <c r="A126">
        <v>125</v>
      </c>
      <c r="B126" t="s">
        <v>369</v>
      </c>
    </row>
    <row r="127" spans="1:2" x14ac:dyDescent="0.25">
      <c r="A127">
        <v>126</v>
      </c>
      <c r="B127" t="s">
        <v>329</v>
      </c>
    </row>
    <row r="128" spans="1:2" x14ac:dyDescent="0.25">
      <c r="A128">
        <v>127</v>
      </c>
      <c r="B128" t="s">
        <v>32</v>
      </c>
    </row>
    <row r="129" spans="1:2" x14ac:dyDescent="0.25">
      <c r="A129">
        <v>128</v>
      </c>
      <c r="B129" t="s">
        <v>717</v>
      </c>
    </row>
    <row r="130" spans="1:2" x14ac:dyDescent="0.25">
      <c r="A130">
        <v>129</v>
      </c>
      <c r="B130" t="s">
        <v>369</v>
      </c>
    </row>
    <row r="131" spans="1:2" x14ac:dyDescent="0.25">
      <c r="A131">
        <v>130</v>
      </c>
      <c r="B131" t="s">
        <v>32</v>
      </c>
    </row>
    <row r="132" spans="1:2" x14ac:dyDescent="0.25">
      <c r="A132">
        <v>131</v>
      </c>
      <c r="B132" t="s">
        <v>32</v>
      </c>
    </row>
    <row r="133" spans="1:2" x14ac:dyDescent="0.25">
      <c r="A133">
        <v>132</v>
      </c>
      <c r="B133" t="s">
        <v>329</v>
      </c>
    </row>
    <row r="134" spans="1:2" x14ac:dyDescent="0.25">
      <c r="A134">
        <v>133</v>
      </c>
      <c r="B134" t="s">
        <v>32</v>
      </c>
    </row>
    <row r="135" spans="1:2" x14ac:dyDescent="0.25">
      <c r="A135">
        <v>134</v>
      </c>
      <c r="B135" t="s">
        <v>717</v>
      </c>
    </row>
    <row r="136" spans="1:2" x14ac:dyDescent="0.25">
      <c r="A136">
        <v>135</v>
      </c>
      <c r="B136" t="s">
        <v>369</v>
      </c>
    </row>
    <row r="137" spans="1:2" x14ac:dyDescent="0.25">
      <c r="A137">
        <v>136</v>
      </c>
      <c r="B137" t="s">
        <v>717</v>
      </c>
    </row>
    <row r="138" spans="1:2" x14ac:dyDescent="0.25">
      <c r="A138">
        <v>137</v>
      </c>
      <c r="B138" t="s">
        <v>369</v>
      </c>
    </row>
    <row r="139" spans="1:2" x14ac:dyDescent="0.25">
      <c r="A139">
        <v>138</v>
      </c>
      <c r="B139" t="s">
        <v>329</v>
      </c>
    </row>
    <row r="140" spans="1:2" x14ac:dyDescent="0.25">
      <c r="A140">
        <v>139</v>
      </c>
      <c r="B140" t="s">
        <v>32</v>
      </c>
    </row>
    <row r="141" spans="1:2" x14ac:dyDescent="0.25">
      <c r="A141">
        <v>140</v>
      </c>
      <c r="B141" t="s">
        <v>717</v>
      </c>
    </row>
    <row r="142" spans="1:2" x14ac:dyDescent="0.25">
      <c r="A142">
        <v>141</v>
      </c>
      <c r="B142" t="s">
        <v>369</v>
      </c>
    </row>
    <row r="143" spans="1:2" x14ac:dyDescent="0.25">
      <c r="A143">
        <v>142</v>
      </c>
      <c r="B143" t="s">
        <v>329</v>
      </c>
    </row>
    <row r="144" spans="1:2" x14ac:dyDescent="0.25">
      <c r="A144">
        <v>143</v>
      </c>
      <c r="B144" t="s">
        <v>717</v>
      </c>
    </row>
    <row r="145" spans="1:2" x14ac:dyDescent="0.25">
      <c r="A145">
        <v>144</v>
      </c>
      <c r="B145" t="s">
        <v>369</v>
      </c>
    </row>
    <row r="146" spans="1:2" x14ac:dyDescent="0.25">
      <c r="A146">
        <v>145</v>
      </c>
      <c r="B146" t="s">
        <v>717</v>
      </c>
    </row>
    <row r="147" spans="1:2" x14ac:dyDescent="0.25">
      <c r="A147">
        <v>146</v>
      </c>
      <c r="B147" t="s">
        <v>329</v>
      </c>
    </row>
    <row r="148" spans="1:2" x14ac:dyDescent="0.25">
      <c r="A148">
        <v>147</v>
      </c>
      <c r="B148" t="s">
        <v>369</v>
      </c>
    </row>
    <row r="149" spans="1:2" x14ac:dyDescent="0.25">
      <c r="A149">
        <v>148</v>
      </c>
      <c r="B149" t="s">
        <v>329</v>
      </c>
    </row>
    <row r="150" spans="1:2" x14ac:dyDescent="0.25">
      <c r="A150">
        <v>149</v>
      </c>
      <c r="B150" t="s">
        <v>329</v>
      </c>
    </row>
    <row r="151" spans="1:2" x14ac:dyDescent="0.25">
      <c r="A151">
        <v>150</v>
      </c>
      <c r="B151" t="s">
        <v>32</v>
      </c>
    </row>
    <row r="152" spans="1:2" x14ac:dyDescent="0.25">
      <c r="A152">
        <v>151</v>
      </c>
      <c r="B152" t="s">
        <v>717</v>
      </c>
    </row>
    <row r="153" spans="1:2" x14ac:dyDescent="0.25">
      <c r="A153">
        <v>152</v>
      </c>
      <c r="B153" t="s">
        <v>369</v>
      </c>
    </row>
    <row r="154" spans="1:2" x14ac:dyDescent="0.25">
      <c r="A154">
        <v>153</v>
      </c>
      <c r="B154" t="s">
        <v>32</v>
      </c>
    </row>
    <row r="155" spans="1:2" x14ac:dyDescent="0.25">
      <c r="A155">
        <v>154</v>
      </c>
      <c r="B155" t="s">
        <v>369</v>
      </c>
    </row>
    <row r="156" spans="1:2" x14ac:dyDescent="0.25">
      <c r="A156">
        <v>155</v>
      </c>
      <c r="B156" t="s">
        <v>32</v>
      </c>
    </row>
    <row r="157" spans="1:2" x14ac:dyDescent="0.25">
      <c r="A157">
        <v>156</v>
      </c>
      <c r="B157" t="s">
        <v>717</v>
      </c>
    </row>
    <row r="158" spans="1:2" x14ac:dyDescent="0.25">
      <c r="A158">
        <v>157</v>
      </c>
      <c r="B158" t="s">
        <v>329</v>
      </c>
    </row>
    <row r="159" spans="1:2" x14ac:dyDescent="0.25">
      <c r="A159">
        <v>158</v>
      </c>
      <c r="B159" t="s">
        <v>329</v>
      </c>
    </row>
    <row r="160" spans="1:2" x14ac:dyDescent="0.25">
      <c r="A160">
        <v>159</v>
      </c>
      <c r="B160" t="s">
        <v>32</v>
      </c>
    </row>
    <row r="161" spans="1:2" x14ac:dyDescent="0.25">
      <c r="A161">
        <v>160</v>
      </c>
      <c r="B161" t="s">
        <v>717</v>
      </c>
    </row>
    <row r="162" spans="1:2" x14ac:dyDescent="0.25">
      <c r="A162">
        <v>161</v>
      </c>
      <c r="B162" t="s">
        <v>369</v>
      </c>
    </row>
    <row r="163" spans="1:2" x14ac:dyDescent="0.25">
      <c r="A163">
        <v>162</v>
      </c>
      <c r="B163" t="s">
        <v>369</v>
      </c>
    </row>
    <row r="164" spans="1:2" x14ac:dyDescent="0.25">
      <c r="A164">
        <v>163</v>
      </c>
      <c r="B164" t="s">
        <v>329</v>
      </c>
    </row>
    <row r="165" spans="1:2" x14ac:dyDescent="0.25">
      <c r="A165">
        <v>164</v>
      </c>
      <c r="B165" t="s">
        <v>32</v>
      </c>
    </row>
    <row r="166" spans="1:2" x14ac:dyDescent="0.25">
      <c r="A166">
        <v>165</v>
      </c>
      <c r="B166" t="s">
        <v>329</v>
      </c>
    </row>
    <row r="167" spans="1:2" x14ac:dyDescent="0.25">
      <c r="A167">
        <v>166</v>
      </c>
      <c r="B167" t="s">
        <v>32</v>
      </c>
    </row>
    <row r="168" spans="1:2" x14ac:dyDescent="0.25">
      <c r="A168">
        <v>167</v>
      </c>
      <c r="B168" t="s">
        <v>717</v>
      </c>
    </row>
    <row r="169" spans="1:2" x14ac:dyDescent="0.25">
      <c r="A169">
        <v>168</v>
      </c>
      <c r="B169" t="s">
        <v>369</v>
      </c>
    </row>
    <row r="170" spans="1:2" x14ac:dyDescent="0.25">
      <c r="A170">
        <v>169</v>
      </c>
      <c r="B170" t="s">
        <v>329</v>
      </c>
    </row>
    <row r="171" spans="1:2" x14ac:dyDescent="0.25">
      <c r="A171">
        <v>170</v>
      </c>
      <c r="B171" t="s">
        <v>32</v>
      </c>
    </row>
    <row r="172" spans="1:2" x14ac:dyDescent="0.25">
      <c r="A172">
        <v>171</v>
      </c>
      <c r="B172" t="s">
        <v>329</v>
      </c>
    </row>
    <row r="173" spans="1:2" x14ac:dyDescent="0.25">
      <c r="A173">
        <v>172</v>
      </c>
      <c r="B173" t="s">
        <v>32</v>
      </c>
    </row>
    <row r="174" spans="1:2" x14ac:dyDescent="0.25">
      <c r="A174">
        <v>173</v>
      </c>
      <c r="B174" t="s">
        <v>717</v>
      </c>
    </row>
    <row r="175" spans="1:2" x14ac:dyDescent="0.25">
      <c r="A175">
        <v>174</v>
      </c>
      <c r="B175" t="s">
        <v>369</v>
      </c>
    </row>
    <row r="176" spans="1:2" x14ac:dyDescent="0.25">
      <c r="A176">
        <v>175</v>
      </c>
      <c r="B176" t="s">
        <v>329</v>
      </c>
    </row>
    <row r="177" spans="1:2" x14ac:dyDescent="0.25">
      <c r="A177">
        <v>176</v>
      </c>
      <c r="B177" t="s">
        <v>32</v>
      </c>
    </row>
    <row r="178" spans="1:2" x14ac:dyDescent="0.25">
      <c r="A178">
        <v>177</v>
      </c>
      <c r="B178" t="s">
        <v>717</v>
      </c>
    </row>
    <row r="179" spans="1:2" x14ac:dyDescent="0.25">
      <c r="A179">
        <v>178</v>
      </c>
      <c r="B179" t="s">
        <v>369</v>
      </c>
    </row>
    <row r="180" spans="1:2" x14ac:dyDescent="0.25">
      <c r="A180">
        <v>179</v>
      </c>
      <c r="B180" t="s">
        <v>329</v>
      </c>
    </row>
    <row r="181" spans="1:2" x14ac:dyDescent="0.25">
      <c r="A181">
        <v>180</v>
      </c>
      <c r="B181" t="s">
        <v>32</v>
      </c>
    </row>
    <row r="182" spans="1:2" x14ac:dyDescent="0.25">
      <c r="A182">
        <v>181</v>
      </c>
      <c r="B182" t="s">
        <v>329</v>
      </c>
    </row>
    <row r="183" spans="1:2" x14ac:dyDescent="0.25">
      <c r="A183">
        <v>182</v>
      </c>
      <c r="B183" t="s">
        <v>32</v>
      </c>
    </row>
    <row r="184" spans="1:2" x14ac:dyDescent="0.25">
      <c r="A184">
        <v>183</v>
      </c>
      <c r="B184" t="s">
        <v>717</v>
      </c>
    </row>
    <row r="185" spans="1:2" x14ac:dyDescent="0.25">
      <c r="A185">
        <v>184</v>
      </c>
      <c r="B185" t="s">
        <v>717</v>
      </c>
    </row>
    <row r="186" spans="1:2" x14ac:dyDescent="0.25">
      <c r="A186">
        <v>185</v>
      </c>
      <c r="B186" t="s">
        <v>369</v>
      </c>
    </row>
    <row r="187" spans="1:2" x14ac:dyDescent="0.25">
      <c r="A187">
        <v>186</v>
      </c>
      <c r="B187" t="s">
        <v>329</v>
      </c>
    </row>
    <row r="188" spans="1:2" x14ac:dyDescent="0.25">
      <c r="A188">
        <v>187</v>
      </c>
      <c r="B188" t="s">
        <v>329</v>
      </c>
    </row>
    <row r="189" spans="1:2" x14ac:dyDescent="0.25">
      <c r="A189">
        <v>188</v>
      </c>
      <c r="B189" t="s">
        <v>32</v>
      </c>
    </row>
    <row r="190" spans="1:2" x14ac:dyDescent="0.25">
      <c r="A190">
        <v>189</v>
      </c>
      <c r="B190" t="s">
        <v>717</v>
      </c>
    </row>
    <row r="191" spans="1:2" x14ac:dyDescent="0.25">
      <c r="A191">
        <v>190</v>
      </c>
      <c r="B191" t="s">
        <v>369</v>
      </c>
    </row>
    <row r="192" spans="1:2" x14ac:dyDescent="0.25">
      <c r="A192">
        <v>191</v>
      </c>
      <c r="B192" t="s">
        <v>329</v>
      </c>
    </row>
    <row r="193" spans="1:2" x14ac:dyDescent="0.25">
      <c r="A193">
        <v>192</v>
      </c>
      <c r="B193" t="s">
        <v>329</v>
      </c>
    </row>
    <row r="194" spans="1:2" x14ac:dyDescent="0.25">
      <c r="A194">
        <v>193</v>
      </c>
      <c r="B194" t="s">
        <v>32</v>
      </c>
    </row>
    <row r="195" spans="1:2" x14ac:dyDescent="0.25">
      <c r="A195">
        <v>194</v>
      </c>
      <c r="B195" t="s">
        <v>717</v>
      </c>
    </row>
    <row r="196" spans="1:2" x14ac:dyDescent="0.25">
      <c r="A196">
        <v>195</v>
      </c>
      <c r="B196" t="s">
        <v>369</v>
      </c>
    </row>
    <row r="197" spans="1:2" x14ac:dyDescent="0.25">
      <c r="A197">
        <v>196</v>
      </c>
      <c r="B197" t="s">
        <v>329</v>
      </c>
    </row>
    <row r="198" spans="1:2" x14ac:dyDescent="0.25">
      <c r="A198">
        <v>197</v>
      </c>
      <c r="B198" t="s">
        <v>32</v>
      </c>
    </row>
    <row r="199" spans="1:2" x14ac:dyDescent="0.25">
      <c r="A199">
        <v>198</v>
      </c>
      <c r="B199" t="s">
        <v>717</v>
      </c>
    </row>
    <row r="200" spans="1:2" x14ac:dyDescent="0.25">
      <c r="A200">
        <v>199</v>
      </c>
      <c r="B200" t="s">
        <v>369</v>
      </c>
    </row>
    <row r="201" spans="1:2" x14ac:dyDescent="0.25">
      <c r="A201">
        <v>200</v>
      </c>
      <c r="B201" t="s">
        <v>329</v>
      </c>
    </row>
    <row r="202" spans="1:2" x14ac:dyDescent="0.25">
      <c r="A202">
        <v>201</v>
      </c>
      <c r="B202" t="s">
        <v>32</v>
      </c>
    </row>
    <row r="203" spans="1:2" x14ac:dyDescent="0.25">
      <c r="A203">
        <v>202</v>
      </c>
      <c r="B203" t="s">
        <v>369</v>
      </c>
    </row>
    <row r="204" spans="1:2" x14ac:dyDescent="0.25">
      <c r="A204">
        <v>203</v>
      </c>
      <c r="B204" t="s">
        <v>329</v>
      </c>
    </row>
    <row r="205" spans="1:2" x14ac:dyDescent="0.25">
      <c r="A205">
        <v>204</v>
      </c>
      <c r="B205" t="s">
        <v>32</v>
      </c>
    </row>
    <row r="206" spans="1:2" x14ac:dyDescent="0.25">
      <c r="A206">
        <v>205</v>
      </c>
      <c r="B206" t="s">
        <v>32</v>
      </c>
    </row>
    <row r="207" spans="1:2" x14ac:dyDescent="0.25">
      <c r="A207">
        <v>206</v>
      </c>
      <c r="B207" t="s">
        <v>329</v>
      </c>
    </row>
    <row r="208" spans="1:2" x14ac:dyDescent="0.25">
      <c r="A208">
        <v>207</v>
      </c>
      <c r="B208" t="s">
        <v>32</v>
      </c>
    </row>
    <row r="209" spans="1:2" x14ac:dyDescent="0.25">
      <c r="A209">
        <v>208</v>
      </c>
      <c r="B209" t="s">
        <v>329</v>
      </c>
    </row>
    <row r="210" spans="1:2" x14ac:dyDescent="0.25">
      <c r="A210">
        <v>209</v>
      </c>
      <c r="B210" t="s">
        <v>32</v>
      </c>
    </row>
    <row r="211" spans="1:2" x14ac:dyDescent="0.25">
      <c r="A211">
        <v>210</v>
      </c>
      <c r="B211" t="s">
        <v>32</v>
      </c>
    </row>
    <row r="212" spans="1:2" x14ac:dyDescent="0.25">
      <c r="A212">
        <v>211</v>
      </c>
      <c r="B212" t="s">
        <v>32</v>
      </c>
    </row>
    <row r="213" spans="1:2" x14ac:dyDescent="0.25">
      <c r="A213">
        <v>212</v>
      </c>
      <c r="B213" t="s">
        <v>329</v>
      </c>
    </row>
    <row r="214" spans="1:2" x14ac:dyDescent="0.25">
      <c r="A214">
        <v>213</v>
      </c>
      <c r="B214" t="s">
        <v>329</v>
      </c>
    </row>
    <row r="215" spans="1:2" x14ac:dyDescent="0.25">
      <c r="A215">
        <v>214</v>
      </c>
      <c r="B215" t="s">
        <v>32</v>
      </c>
    </row>
    <row r="216" spans="1:2" x14ac:dyDescent="0.25">
      <c r="A216">
        <v>215</v>
      </c>
      <c r="B216" t="s">
        <v>717</v>
      </c>
    </row>
    <row r="217" spans="1:2" x14ac:dyDescent="0.25">
      <c r="A217">
        <v>216</v>
      </c>
      <c r="B217" t="s">
        <v>369</v>
      </c>
    </row>
    <row r="218" spans="1:2" x14ac:dyDescent="0.25">
      <c r="A218">
        <v>217</v>
      </c>
      <c r="B218" t="s">
        <v>329</v>
      </c>
    </row>
    <row r="219" spans="1:2" x14ac:dyDescent="0.25">
      <c r="A219">
        <v>218</v>
      </c>
      <c r="B219" t="s">
        <v>329</v>
      </c>
    </row>
    <row r="220" spans="1:2" x14ac:dyDescent="0.25">
      <c r="A220">
        <v>219</v>
      </c>
      <c r="B220" t="s">
        <v>329</v>
      </c>
    </row>
    <row r="221" spans="1:2" x14ac:dyDescent="0.25">
      <c r="A221">
        <v>220</v>
      </c>
      <c r="B221" t="s">
        <v>369</v>
      </c>
    </row>
    <row r="222" spans="1:2" x14ac:dyDescent="0.25">
      <c r="A222">
        <v>221</v>
      </c>
      <c r="B222" t="s">
        <v>329</v>
      </c>
    </row>
    <row r="223" spans="1:2" x14ac:dyDescent="0.25">
      <c r="A223">
        <v>222</v>
      </c>
      <c r="B223" t="s">
        <v>717</v>
      </c>
    </row>
    <row r="224" spans="1:2" x14ac:dyDescent="0.25">
      <c r="A224">
        <v>223</v>
      </c>
      <c r="B224" t="s">
        <v>329</v>
      </c>
    </row>
    <row r="225" spans="1:2" x14ac:dyDescent="0.25">
      <c r="A225">
        <v>224</v>
      </c>
      <c r="B225" t="s">
        <v>32</v>
      </c>
    </row>
    <row r="226" spans="1:2" x14ac:dyDescent="0.25">
      <c r="A226">
        <v>225</v>
      </c>
      <c r="B226" t="s">
        <v>329</v>
      </c>
    </row>
    <row r="227" spans="1:2" x14ac:dyDescent="0.25">
      <c r="A227">
        <v>226</v>
      </c>
      <c r="B227" t="s">
        <v>329</v>
      </c>
    </row>
    <row r="228" spans="1:2" x14ac:dyDescent="0.25">
      <c r="A228">
        <v>227</v>
      </c>
      <c r="B228" t="s">
        <v>32</v>
      </c>
    </row>
    <row r="229" spans="1:2" x14ac:dyDescent="0.25">
      <c r="A229">
        <v>228</v>
      </c>
      <c r="B229" t="s">
        <v>32</v>
      </c>
    </row>
    <row r="230" spans="1:2" x14ac:dyDescent="0.25">
      <c r="A230">
        <v>229</v>
      </c>
      <c r="B230" t="s">
        <v>329</v>
      </c>
    </row>
    <row r="231" spans="1:2" x14ac:dyDescent="0.25">
      <c r="A231">
        <v>230</v>
      </c>
      <c r="B231" t="s">
        <v>717</v>
      </c>
    </row>
    <row r="232" spans="1:2" x14ac:dyDescent="0.25">
      <c r="A232">
        <v>231</v>
      </c>
      <c r="B232" t="s">
        <v>369</v>
      </c>
    </row>
    <row r="233" spans="1:2" x14ac:dyDescent="0.25">
      <c r="A233">
        <v>232</v>
      </c>
      <c r="B233" t="s">
        <v>32</v>
      </c>
    </row>
    <row r="234" spans="1:2" x14ac:dyDescent="0.25">
      <c r="A234">
        <v>233</v>
      </c>
      <c r="B234" t="s">
        <v>369</v>
      </c>
    </row>
    <row r="235" spans="1:2" x14ac:dyDescent="0.25">
      <c r="A235">
        <v>234</v>
      </c>
      <c r="B235" t="s">
        <v>32</v>
      </c>
    </row>
    <row r="236" spans="1:2" x14ac:dyDescent="0.25">
      <c r="A236">
        <v>235</v>
      </c>
      <c r="B236" t="s">
        <v>329</v>
      </c>
    </row>
    <row r="237" spans="1:2" x14ac:dyDescent="0.25">
      <c r="A237">
        <v>236</v>
      </c>
      <c r="B237" t="s">
        <v>329</v>
      </c>
    </row>
    <row r="238" spans="1:2" x14ac:dyDescent="0.25">
      <c r="A238">
        <v>237</v>
      </c>
      <c r="B238" t="s">
        <v>32</v>
      </c>
    </row>
    <row r="239" spans="1:2" x14ac:dyDescent="0.25">
      <c r="A239">
        <v>238</v>
      </c>
      <c r="B239" t="s">
        <v>717</v>
      </c>
    </row>
    <row r="240" spans="1:2" x14ac:dyDescent="0.25">
      <c r="A240">
        <v>239</v>
      </c>
      <c r="B240" t="s">
        <v>329</v>
      </c>
    </row>
    <row r="241" spans="1:2" x14ac:dyDescent="0.25">
      <c r="A241">
        <v>240</v>
      </c>
      <c r="B241" t="s">
        <v>32</v>
      </c>
    </row>
    <row r="242" spans="1:2" x14ac:dyDescent="0.25">
      <c r="A242">
        <v>241</v>
      </c>
      <c r="B242" t="s">
        <v>32</v>
      </c>
    </row>
    <row r="243" spans="1:2" x14ac:dyDescent="0.25">
      <c r="A243">
        <v>242</v>
      </c>
      <c r="B243" t="s">
        <v>717</v>
      </c>
    </row>
    <row r="244" spans="1:2" x14ac:dyDescent="0.25">
      <c r="A244">
        <v>243</v>
      </c>
      <c r="B244" t="s">
        <v>329</v>
      </c>
    </row>
    <row r="245" spans="1:2" x14ac:dyDescent="0.25">
      <c r="A245">
        <v>244</v>
      </c>
      <c r="B245" t="s">
        <v>32</v>
      </c>
    </row>
    <row r="246" spans="1:2" x14ac:dyDescent="0.25">
      <c r="A246">
        <v>245</v>
      </c>
      <c r="B246" t="s">
        <v>717</v>
      </c>
    </row>
    <row r="247" spans="1:2" x14ac:dyDescent="0.25">
      <c r="A247">
        <v>246</v>
      </c>
      <c r="B247" t="s">
        <v>369</v>
      </c>
    </row>
    <row r="248" spans="1:2" x14ac:dyDescent="0.25">
      <c r="A248">
        <v>247</v>
      </c>
      <c r="B248" t="s">
        <v>329</v>
      </c>
    </row>
    <row r="249" spans="1:2" x14ac:dyDescent="0.25">
      <c r="A249">
        <v>248</v>
      </c>
      <c r="B249" t="s">
        <v>32</v>
      </c>
    </row>
    <row r="250" spans="1:2" x14ac:dyDescent="0.25">
      <c r="A250">
        <v>249</v>
      </c>
      <c r="B250" t="s">
        <v>369</v>
      </c>
    </row>
    <row r="251" spans="1:2" x14ac:dyDescent="0.25">
      <c r="A251">
        <v>250</v>
      </c>
      <c r="B251" t="s">
        <v>717</v>
      </c>
    </row>
    <row r="252" spans="1:2" x14ac:dyDescent="0.25">
      <c r="A252">
        <v>251</v>
      </c>
      <c r="B252" t="s">
        <v>329</v>
      </c>
    </row>
    <row r="253" spans="1:2" x14ac:dyDescent="0.25">
      <c r="A253">
        <v>252</v>
      </c>
      <c r="B253" t="s">
        <v>32</v>
      </c>
    </row>
    <row r="254" spans="1:2" x14ac:dyDescent="0.25">
      <c r="A254">
        <v>253</v>
      </c>
      <c r="B254" t="s">
        <v>369</v>
      </c>
    </row>
    <row r="255" spans="1:2" x14ac:dyDescent="0.25">
      <c r="A255">
        <v>254</v>
      </c>
      <c r="B255" t="s">
        <v>329</v>
      </c>
    </row>
    <row r="256" spans="1:2" x14ac:dyDescent="0.25">
      <c r="A256">
        <v>255</v>
      </c>
      <c r="B256" t="s">
        <v>329</v>
      </c>
    </row>
    <row r="257" spans="1:2" x14ac:dyDescent="0.25">
      <c r="A257">
        <v>256</v>
      </c>
      <c r="B257" t="s">
        <v>32</v>
      </c>
    </row>
    <row r="258" spans="1:2" x14ac:dyDescent="0.25">
      <c r="A258">
        <v>257</v>
      </c>
      <c r="B258" t="s">
        <v>717</v>
      </c>
    </row>
    <row r="259" spans="1:2" x14ac:dyDescent="0.25">
      <c r="A259">
        <v>258</v>
      </c>
      <c r="B259" t="s">
        <v>32</v>
      </c>
    </row>
    <row r="260" spans="1:2" x14ac:dyDescent="0.25">
      <c r="A260">
        <v>259</v>
      </c>
      <c r="B260" t="s">
        <v>369</v>
      </c>
    </row>
    <row r="261" spans="1:2" x14ac:dyDescent="0.25">
      <c r="A261">
        <v>260</v>
      </c>
      <c r="B261" t="s">
        <v>329</v>
      </c>
    </row>
    <row r="262" spans="1:2" x14ac:dyDescent="0.25">
      <c r="A262">
        <v>261</v>
      </c>
      <c r="B262" t="s">
        <v>369</v>
      </c>
    </row>
    <row r="263" spans="1:2" x14ac:dyDescent="0.25">
      <c r="A263">
        <v>262</v>
      </c>
      <c r="B263" t="s">
        <v>717</v>
      </c>
    </row>
    <row r="264" spans="1:2" x14ac:dyDescent="0.25">
      <c r="A264">
        <v>263</v>
      </c>
      <c r="B264" t="s">
        <v>329</v>
      </c>
    </row>
    <row r="265" spans="1:2" x14ac:dyDescent="0.25">
      <c r="A265">
        <v>264</v>
      </c>
      <c r="B265" t="s">
        <v>717</v>
      </c>
    </row>
    <row r="266" spans="1:2" x14ac:dyDescent="0.25">
      <c r="A266">
        <v>265</v>
      </c>
      <c r="B266" t="s">
        <v>329</v>
      </c>
    </row>
    <row r="267" spans="1:2" x14ac:dyDescent="0.25">
      <c r="A267">
        <v>266</v>
      </c>
      <c r="B267" t="s">
        <v>32</v>
      </c>
    </row>
    <row r="268" spans="1:2" x14ac:dyDescent="0.25">
      <c r="A268">
        <v>267</v>
      </c>
      <c r="B268" t="s">
        <v>717</v>
      </c>
    </row>
    <row r="269" spans="1:2" x14ac:dyDescent="0.25">
      <c r="A269">
        <v>268</v>
      </c>
      <c r="B269" t="s">
        <v>369</v>
      </c>
    </row>
    <row r="270" spans="1:2" x14ac:dyDescent="0.25">
      <c r="A270">
        <v>269</v>
      </c>
      <c r="B270" t="s">
        <v>32</v>
      </c>
    </row>
    <row r="271" spans="1:2" x14ac:dyDescent="0.25">
      <c r="A271">
        <v>270</v>
      </c>
      <c r="B271" t="s">
        <v>329</v>
      </c>
    </row>
    <row r="272" spans="1:2" x14ac:dyDescent="0.25">
      <c r="A272">
        <v>271</v>
      </c>
      <c r="B272" t="s">
        <v>32</v>
      </c>
    </row>
    <row r="273" spans="1:2" x14ac:dyDescent="0.25">
      <c r="A273">
        <v>272</v>
      </c>
      <c r="B273" t="s">
        <v>329</v>
      </c>
    </row>
    <row r="274" spans="1:2" x14ac:dyDescent="0.25">
      <c r="A274">
        <v>273</v>
      </c>
      <c r="B274" t="s">
        <v>32</v>
      </c>
    </row>
    <row r="275" spans="1:2" x14ac:dyDescent="0.25">
      <c r="A275">
        <v>274</v>
      </c>
      <c r="B275" t="s">
        <v>329</v>
      </c>
    </row>
    <row r="276" spans="1:2" x14ac:dyDescent="0.25">
      <c r="A276">
        <v>275</v>
      </c>
      <c r="B276" t="s">
        <v>32</v>
      </c>
    </row>
    <row r="277" spans="1:2" x14ac:dyDescent="0.25">
      <c r="A277">
        <v>276</v>
      </c>
      <c r="B277" t="s">
        <v>717</v>
      </c>
    </row>
    <row r="278" spans="1:2" x14ac:dyDescent="0.25">
      <c r="A278">
        <v>277</v>
      </c>
      <c r="B278" t="s">
        <v>369</v>
      </c>
    </row>
    <row r="279" spans="1:2" x14ac:dyDescent="0.25">
      <c r="A279">
        <v>278</v>
      </c>
      <c r="B279" t="s">
        <v>329</v>
      </c>
    </row>
    <row r="280" spans="1:2" x14ac:dyDescent="0.25">
      <c r="A280">
        <v>279</v>
      </c>
      <c r="B280" t="s">
        <v>329</v>
      </c>
    </row>
    <row r="281" spans="1:2" x14ac:dyDescent="0.25">
      <c r="A281">
        <v>280</v>
      </c>
      <c r="B281" t="s">
        <v>717</v>
      </c>
    </row>
    <row r="282" spans="1:2" x14ac:dyDescent="0.25">
      <c r="A282">
        <v>281</v>
      </c>
      <c r="B282" t="s">
        <v>369</v>
      </c>
    </row>
    <row r="283" spans="1:2" x14ac:dyDescent="0.25">
      <c r="A283">
        <v>282</v>
      </c>
      <c r="B283" t="s">
        <v>32</v>
      </c>
    </row>
    <row r="284" spans="1:2" x14ac:dyDescent="0.25">
      <c r="A284">
        <v>283</v>
      </c>
      <c r="B284" t="s">
        <v>329</v>
      </c>
    </row>
    <row r="285" spans="1:2" x14ac:dyDescent="0.25">
      <c r="A285">
        <v>284</v>
      </c>
      <c r="B285" t="s">
        <v>32</v>
      </c>
    </row>
    <row r="286" spans="1:2" x14ac:dyDescent="0.25">
      <c r="A286">
        <v>285</v>
      </c>
      <c r="B286" t="s">
        <v>717</v>
      </c>
    </row>
    <row r="287" spans="1:2" x14ac:dyDescent="0.25">
      <c r="A287">
        <v>286</v>
      </c>
      <c r="B287" t="s">
        <v>329</v>
      </c>
    </row>
    <row r="288" spans="1:2" x14ac:dyDescent="0.25">
      <c r="A288">
        <v>287</v>
      </c>
      <c r="B288" t="s">
        <v>32</v>
      </c>
    </row>
    <row r="289" spans="1:2" x14ac:dyDescent="0.25">
      <c r="A289">
        <v>288</v>
      </c>
      <c r="B289" t="s">
        <v>717</v>
      </c>
    </row>
    <row r="290" spans="1:2" x14ac:dyDescent="0.25">
      <c r="A290">
        <v>289</v>
      </c>
      <c r="B290" t="s">
        <v>369</v>
      </c>
    </row>
    <row r="291" spans="1:2" x14ac:dyDescent="0.25">
      <c r="A291">
        <v>290</v>
      </c>
      <c r="B291" t="s">
        <v>329</v>
      </c>
    </row>
    <row r="292" spans="1:2" x14ac:dyDescent="0.25">
      <c r="A292">
        <v>291</v>
      </c>
      <c r="B292" t="s">
        <v>32</v>
      </c>
    </row>
    <row r="293" spans="1:2" x14ac:dyDescent="0.25">
      <c r="A293">
        <v>292</v>
      </c>
      <c r="B293" t="s">
        <v>717</v>
      </c>
    </row>
    <row r="294" spans="1:2" x14ac:dyDescent="0.25">
      <c r="A294">
        <v>293</v>
      </c>
      <c r="B294" t="s">
        <v>369</v>
      </c>
    </row>
    <row r="295" spans="1:2" x14ac:dyDescent="0.25">
      <c r="A295">
        <v>294</v>
      </c>
      <c r="B295" t="s">
        <v>32</v>
      </c>
    </row>
    <row r="296" spans="1:2" x14ac:dyDescent="0.25">
      <c r="A296">
        <v>295</v>
      </c>
      <c r="B296" t="s">
        <v>329</v>
      </c>
    </row>
    <row r="297" spans="1:2" x14ac:dyDescent="0.25">
      <c r="A297">
        <v>296</v>
      </c>
      <c r="B297" t="s">
        <v>32</v>
      </c>
    </row>
    <row r="298" spans="1:2" x14ac:dyDescent="0.25">
      <c r="A298">
        <v>297</v>
      </c>
      <c r="B298" t="s">
        <v>717</v>
      </c>
    </row>
    <row r="299" spans="1:2" x14ac:dyDescent="0.25">
      <c r="A299">
        <v>298</v>
      </c>
      <c r="B299" t="s">
        <v>369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E23C3-A463-45D9-B496-87491683F6ED}">
  <dimension ref="A1:C1197"/>
  <sheetViews>
    <sheetView workbookViewId="0">
      <selection activeCell="C2" sqref="C2"/>
    </sheetView>
  </sheetViews>
  <sheetFormatPr defaultRowHeight="12.5" x14ac:dyDescent="0.25"/>
  <cols>
    <col min="1" max="1" width="7.7265625" bestFit="1" customWidth="1"/>
    <col min="2" max="2" width="69.26953125" bestFit="1" customWidth="1"/>
    <col min="3" max="3" width="8.90625" bestFit="1" customWidth="1"/>
  </cols>
  <sheetData>
    <row r="1" spans="1:3" x14ac:dyDescent="0.25">
      <c r="A1" t="s">
        <v>755</v>
      </c>
      <c r="B1" t="s">
        <v>757</v>
      </c>
      <c r="C1" t="s">
        <v>756</v>
      </c>
    </row>
    <row r="2" spans="1:3" x14ac:dyDescent="0.25">
      <c r="A2">
        <v>1</v>
      </c>
      <c r="B2" t="s">
        <v>16</v>
      </c>
      <c r="C2" t="s">
        <v>717</v>
      </c>
    </row>
    <row r="3" spans="1:3" x14ac:dyDescent="0.25">
      <c r="A3">
        <v>1</v>
      </c>
      <c r="B3" t="s">
        <v>17</v>
      </c>
      <c r="C3" t="s">
        <v>32</v>
      </c>
    </row>
    <row r="4" spans="1:3" x14ac:dyDescent="0.25">
      <c r="A4">
        <v>1</v>
      </c>
      <c r="B4" t="s">
        <v>18</v>
      </c>
      <c r="C4" t="s">
        <v>329</v>
      </c>
    </row>
    <row r="5" spans="1:3" x14ac:dyDescent="0.25">
      <c r="A5">
        <v>1</v>
      </c>
      <c r="B5" t="s">
        <v>19</v>
      </c>
      <c r="C5" t="s">
        <v>717</v>
      </c>
    </row>
    <row r="6" spans="1:3" x14ac:dyDescent="0.25">
      <c r="A6">
        <v>1</v>
      </c>
      <c r="B6" t="s">
        <v>20</v>
      </c>
      <c r="C6" t="s">
        <v>32</v>
      </c>
    </row>
    <row r="7" spans="1:3" x14ac:dyDescent="0.25">
      <c r="A7">
        <v>1</v>
      </c>
      <c r="B7" t="s">
        <v>21</v>
      </c>
      <c r="C7" t="s">
        <v>32</v>
      </c>
    </row>
    <row r="8" spans="1:3" x14ac:dyDescent="0.25">
      <c r="A8">
        <v>1</v>
      </c>
      <c r="B8" t="s">
        <v>22</v>
      </c>
      <c r="C8" t="s">
        <v>32</v>
      </c>
    </row>
    <row r="9" spans="1:3" x14ac:dyDescent="0.25">
      <c r="A9">
        <v>1</v>
      </c>
      <c r="B9" t="s">
        <v>23</v>
      </c>
      <c r="C9" t="s">
        <v>32</v>
      </c>
    </row>
    <row r="10" spans="1:3" x14ac:dyDescent="0.25">
      <c r="A10">
        <v>2</v>
      </c>
      <c r="B10" t="s">
        <v>16</v>
      </c>
      <c r="C10" t="s">
        <v>32</v>
      </c>
    </row>
    <row r="11" spans="1:3" x14ac:dyDescent="0.25">
      <c r="A11">
        <v>2</v>
      </c>
      <c r="B11" t="s">
        <v>17</v>
      </c>
      <c r="C11" t="s">
        <v>32</v>
      </c>
    </row>
    <row r="12" spans="1:3" x14ac:dyDescent="0.25">
      <c r="A12">
        <v>2</v>
      </c>
      <c r="B12" t="s">
        <v>18</v>
      </c>
      <c r="C12" t="s">
        <v>32</v>
      </c>
    </row>
    <row r="13" spans="1:3" x14ac:dyDescent="0.25">
      <c r="A13">
        <v>2</v>
      </c>
      <c r="B13" t="s">
        <v>19</v>
      </c>
      <c r="C13" t="s">
        <v>32</v>
      </c>
    </row>
    <row r="14" spans="1:3" x14ac:dyDescent="0.25">
      <c r="A14">
        <v>2</v>
      </c>
      <c r="B14" t="s">
        <v>20</v>
      </c>
      <c r="C14" t="s">
        <v>32</v>
      </c>
    </row>
    <row r="15" spans="1:3" x14ac:dyDescent="0.25">
      <c r="A15">
        <v>2</v>
      </c>
      <c r="B15" t="s">
        <v>21</v>
      </c>
      <c r="C15" t="s">
        <v>32</v>
      </c>
    </row>
    <row r="16" spans="1:3" x14ac:dyDescent="0.25">
      <c r="A16">
        <v>2</v>
      </c>
      <c r="B16" t="s">
        <v>22</v>
      </c>
      <c r="C16" t="s">
        <v>32</v>
      </c>
    </row>
    <row r="17" spans="1:3" x14ac:dyDescent="0.25">
      <c r="A17">
        <v>2</v>
      </c>
      <c r="B17" t="s">
        <v>23</v>
      </c>
      <c r="C17" t="s">
        <v>32</v>
      </c>
    </row>
    <row r="18" spans="1:3" x14ac:dyDescent="0.25">
      <c r="A18">
        <v>3</v>
      </c>
      <c r="B18" t="s">
        <v>16</v>
      </c>
      <c r="C18" t="s">
        <v>717</v>
      </c>
    </row>
    <row r="19" spans="1:3" x14ac:dyDescent="0.25">
      <c r="A19">
        <v>3</v>
      </c>
      <c r="B19" t="s">
        <v>17</v>
      </c>
      <c r="C19" t="s">
        <v>369</v>
      </c>
    </row>
    <row r="20" spans="1:3" x14ac:dyDescent="0.25">
      <c r="A20">
        <v>3</v>
      </c>
      <c r="B20" t="s">
        <v>18</v>
      </c>
      <c r="C20" t="s">
        <v>32</v>
      </c>
    </row>
    <row r="21" spans="1:3" x14ac:dyDescent="0.25">
      <c r="A21">
        <v>3</v>
      </c>
      <c r="B21" t="s">
        <v>19</v>
      </c>
      <c r="C21" t="s">
        <v>32</v>
      </c>
    </row>
    <row r="22" spans="1:3" x14ac:dyDescent="0.25">
      <c r="A22">
        <v>3</v>
      </c>
      <c r="B22" t="s">
        <v>20</v>
      </c>
      <c r="C22" t="s">
        <v>717</v>
      </c>
    </row>
    <row r="23" spans="1:3" x14ac:dyDescent="0.25">
      <c r="A23">
        <v>3</v>
      </c>
      <c r="B23" t="s">
        <v>21</v>
      </c>
      <c r="C23" t="s">
        <v>32</v>
      </c>
    </row>
    <row r="24" spans="1:3" x14ac:dyDescent="0.25">
      <c r="A24">
        <v>3</v>
      </c>
      <c r="B24" t="s">
        <v>22</v>
      </c>
      <c r="C24" t="s">
        <v>717</v>
      </c>
    </row>
    <row r="25" spans="1:3" x14ac:dyDescent="0.25">
      <c r="A25">
        <v>3</v>
      </c>
      <c r="B25" t="s">
        <v>23</v>
      </c>
      <c r="C25" t="s">
        <v>717</v>
      </c>
    </row>
    <row r="26" spans="1:3" x14ac:dyDescent="0.25">
      <c r="A26">
        <v>4</v>
      </c>
      <c r="B26" t="s">
        <v>16</v>
      </c>
      <c r="C26" t="s">
        <v>32</v>
      </c>
    </row>
    <row r="27" spans="1:3" x14ac:dyDescent="0.25">
      <c r="A27">
        <v>4</v>
      </c>
      <c r="B27" t="s">
        <v>17</v>
      </c>
      <c r="C27" t="s">
        <v>32</v>
      </c>
    </row>
    <row r="28" spans="1:3" x14ac:dyDescent="0.25">
      <c r="A28">
        <v>4</v>
      </c>
      <c r="B28" t="s">
        <v>18</v>
      </c>
      <c r="C28" t="s">
        <v>32</v>
      </c>
    </row>
    <row r="29" spans="1:3" x14ac:dyDescent="0.25">
      <c r="A29">
        <v>4</v>
      </c>
      <c r="B29" t="s">
        <v>19</v>
      </c>
      <c r="C29" t="s">
        <v>32</v>
      </c>
    </row>
    <row r="30" spans="1:3" x14ac:dyDescent="0.25">
      <c r="A30">
        <v>4</v>
      </c>
      <c r="B30" t="s">
        <v>20</v>
      </c>
      <c r="C30" t="s">
        <v>32</v>
      </c>
    </row>
    <row r="31" spans="1:3" x14ac:dyDescent="0.25">
      <c r="A31">
        <v>4</v>
      </c>
      <c r="B31" t="s">
        <v>21</v>
      </c>
      <c r="C31" t="s">
        <v>32</v>
      </c>
    </row>
    <row r="32" spans="1:3" x14ac:dyDescent="0.25">
      <c r="A32">
        <v>4</v>
      </c>
      <c r="B32" t="s">
        <v>22</v>
      </c>
      <c r="C32" t="s">
        <v>32</v>
      </c>
    </row>
    <row r="33" spans="1:3" x14ac:dyDescent="0.25">
      <c r="A33">
        <v>4</v>
      </c>
      <c r="B33" t="s">
        <v>23</v>
      </c>
      <c r="C33" t="s">
        <v>32</v>
      </c>
    </row>
    <row r="34" spans="1:3" x14ac:dyDescent="0.25">
      <c r="A34">
        <v>5</v>
      </c>
      <c r="B34" t="s">
        <v>16</v>
      </c>
      <c r="C34" t="s">
        <v>32</v>
      </c>
    </row>
    <row r="35" spans="1:3" x14ac:dyDescent="0.25">
      <c r="A35">
        <v>5</v>
      </c>
      <c r="B35" t="s">
        <v>17</v>
      </c>
      <c r="C35" t="s">
        <v>329</v>
      </c>
    </row>
    <row r="36" spans="1:3" x14ac:dyDescent="0.25">
      <c r="A36">
        <v>5</v>
      </c>
      <c r="B36" t="s">
        <v>18</v>
      </c>
      <c r="C36" t="s">
        <v>329</v>
      </c>
    </row>
    <row r="37" spans="1:3" x14ac:dyDescent="0.25">
      <c r="A37">
        <v>5</v>
      </c>
      <c r="B37" t="s">
        <v>19</v>
      </c>
      <c r="C37" t="s">
        <v>32</v>
      </c>
    </row>
    <row r="38" spans="1:3" x14ac:dyDescent="0.25">
      <c r="A38">
        <v>5</v>
      </c>
      <c r="B38" t="s">
        <v>20</v>
      </c>
      <c r="C38" t="s">
        <v>32</v>
      </c>
    </row>
    <row r="39" spans="1:3" x14ac:dyDescent="0.25">
      <c r="A39">
        <v>5</v>
      </c>
      <c r="B39" t="s">
        <v>21</v>
      </c>
      <c r="C39" t="s">
        <v>32</v>
      </c>
    </row>
    <row r="40" spans="1:3" x14ac:dyDescent="0.25">
      <c r="A40">
        <v>5</v>
      </c>
      <c r="B40" t="s">
        <v>22</v>
      </c>
      <c r="C40" t="s">
        <v>32</v>
      </c>
    </row>
    <row r="41" spans="1:3" x14ac:dyDescent="0.25">
      <c r="A41">
        <v>5</v>
      </c>
      <c r="B41" t="s">
        <v>23</v>
      </c>
      <c r="C41" t="s">
        <v>32</v>
      </c>
    </row>
    <row r="42" spans="1:3" x14ac:dyDescent="0.25">
      <c r="A42">
        <v>6</v>
      </c>
      <c r="B42" t="s">
        <v>16</v>
      </c>
      <c r="C42" t="s">
        <v>369</v>
      </c>
    </row>
    <row r="43" spans="1:3" x14ac:dyDescent="0.25">
      <c r="A43">
        <v>6</v>
      </c>
      <c r="B43" t="s">
        <v>17</v>
      </c>
      <c r="C43" t="s">
        <v>329</v>
      </c>
    </row>
    <row r="44" spans="1:3" x14ac:dyDescent="0.25">
      <c r="A44">
        <v>6</v>
      </c>
      <c r="B44" t="s">
        <v>18</v>
      </c>
      <c r="C44" t="s">
        <v>32</v>
      </c>
    </row>
    <row r="45" spans="1:3" x14ac:dyDescent="0.25">
      <c r="A45">
        <v>6</v>
      </c>
      <c r="B45" t="s">
        <v>19</v>
      </c>
      <c r="C45" t="s">
        <v>32</v>
      </c>
    </row>
    <row r="46" spans="1:3" x14ac:dyDescent="0.25">
      <c r="A46">
        <v>6</v>
      </c>
      <c r="B46" t="s">
        <v>20</v>
      </c>
      <c r="C46" t="s">
        <v>32</v>
      </c>
    </row>
    <row r="47" spans="1:3" x14ac:dyDescent="0.25">
      <c r="A47">
        <v>6</v>
      </c>
      <c r="B47" t="s">
        <v>21</v>
      </c>
      <c r="C47" t="s">
        <v>329</v>
      </c>
    </row>
    <row r="48" spans="1:3" x14ac:dyDescent="0.25">
      <c r="A48">
        <v>6</v>
      </c>
      <c r="B48" t="s">
        <v>22</v>
      </c>
      <c r="C48" t="s">
        <v>369</v>
      </c>
    </row>
    <row r="49" spans="1:3" x14ac:dyDescent="0.25">
      <c r="A49">
        <v>6</v>
      </c>
      <c r="B49" t="s">
        <v>23</v>
      </c>
      <c r="C49" t="s">
        <v>329</v>
      </c>
    </row>
    <row r="50" spans="1:3" x14ac:dyDescent="0.25">
      <c r="A50">
        <v>7</v>
      </c>
      <c r="B50" t="s">
        <v>16</v>
      </c>
      <c r="C50" t="s">
        <v>329</v>
      </c>
    </row>
    <row r="51" spans="1:3" x14ac:dyDescent="0.25">
      <c r="A51">
        <v>7</v>
      </c>
      <c r="B51" t="s">
        <v>17</v>
      </c>
      <c r="C51" t="s">
        <v>329</v>
      </c>
    </row>
    <row r="52" spans="1:3" x14ac:dyDescent="0.25">
      <c r="A52">
        <v>7</v>
      </c>
      <c r="B52" t="s">
        <v>18</v>
      </c>
      <c r="C52" t="s">
        <v>329</v>
      </c>
    </row>
    <row r="53" spans="1:3" x14ac:dyDescent="0.25">
      <c r="A53">
        <v>7</v>
      </c>
      <c r="B53" t="s">
        <v>19</v>
      </c>
      <c r="C53" t="s">
        <v>329</v>
      </c>
    </row>
    <row r="54" spans="1:3" x14ac:dyDescent="0.25">
      <c r="A54">
        <v>7</v>
      </c>
      <c r="B54" t="s">
        <v>20</v>
      </c>
      <c r="C54" t="s">
        <v>32</v>
      </c>
    </row>
    <row r="55" spans="1:3" x14ac:dyDescent="0.25">
      <c r="A55">
        <v>7</v>
      </c>
      <c r="B55" t="s">
        <v>21</v>
      </c>
      <c r="C55" t="s">
        <v>329</v>
      </c>
    </row>
    <row r="56" spans="1:3" x14ac:dyDescent="0.25">
      <c r="A56">
        <v>7</v>
      </c>
      <c r="B56" t="s">
        <v>22</v>
      </c>
      <c r="C56" t="s">
        <v>329</v>
      </c>
    </row>
    <row r="57" spans="1:3" x14ac:dyDescent="0.25">
      <c r="A57">
        <v>7</v>
      </c>
      <c r="B57" t="s">
        <v>23</v>
      </c>
      <c r="C57" t="s">
        <v>329</v>
      </c>
    </row>
    <row r="58" spans="1:3" x14ac:dyDescent="0.25">
      <c r="A58">
        <v>8</v>
      </c>
      <c r="B58" t="s">
        <v>16</v>
      </c>
      <c r="C58" t="s">
        <v>369</v>
      </c>
    </row>
    <row r="59" spans="1:3" x14ac:dyDescent="0.25">
      <c r="A59">
        <v>8</v>
      </c>
      <c r="B59" t="s">
        <v>17</v>
      </c>
      <c r="C59" t="s">
        <v>369</v>
      </c>
    </row>
    <row r="60" spans="1:3" x14ac:dyDescent="0.25">
      <c r="A60">
        <v>8</v>
      </c>
      <c r="B60" t="s">
        <v>18</v>
      </c>
      <c r="C60" t="s">
        <v>329</v>
      </c>
    </row>
    <row r="61" spans="1:3" x14ac:dyDescent="0.25">
      <c r="A61">
        <v>8</v>
      </c>
      <c r="B61" t="s">
        <v>19</v>
      </c>
      <c r="C61" t="s">
        <v>369</v>
      </c>
    </row>
    <row r="62" spans="1:3" x14ac:dyDescent="0.25">
      <c r="A62">
        <v>8</v>
      </c>
      <c r="B62" t="s">
        <v>20</v>
      </c>
      <c r="C62" t="s">
        <v>369</v>
      </c>
    </row>
    <row r="63" spans="1:3" x14ac:dyDescent="0.25">
      <c r="A63">
        <v>8</v>
      </c>
      <c r="B63" t="s">
        <v>21</v>
      </c>
      <c r="C63" t="s">
        <v>369</v>
      </c>
    </row>
    <row r="64" spans="1:3" x14ac:dyDescent="0.25">
      <c r="A64">
        <v>8</v>
      </c>
      <c r="B64" t="s">
        <v>22</v>
      </c>
      <c r="C64" t="s">
        <v>369</v>
      </c>
    </row>
    <row r="65" spans="1:3" x14ac:dyDescent="0.25">
      <c r="A65">
        <v>8</v>
      </c>
      <c r="B65" t="s">
        <v>23</v>
      </c>
      <c r="C65" t="s">
        <v>717</v>
      </c>
    </row>
    <row r="66" spans="1:3" x14ac:dyDescent="0.25">
      <c r="A66">
        <v>9</v>
      </c>
      <c r="B66" t="s">
        <v>16</v>
      </c>
      <c r="C66" t="s">
        <v>329</v>
      </c>
    </row>
    <row r="67" spans="1:3" x14ac:dyDescent="0.25">
      <c r="A67">
        <v>9</v>
      </c>
      <c r="B67" t="s">
        <v>17</v>
      </c>
      <c r="C67" t="s">
        <v>329</v>
      </c>
    </row>
    <row r="68" spans="1:3" x14ac:dyDescent="0.25">
      <c r="A68">
        <v>9</v>
      </c>
      <c r="B68" t="s">
        <v>18</v>
      </c>
      <c r="C68" t="s">
        <v>329</v>
      </c>
    </row>
    <row r="69" spans="1:3" x14ac:dyDescent="0.25">
      <c r="A69">
        <v>9</v>
      </c>
      <c r="B69" t="s">
        <v>19</v>
      </c>
      <c r="C69" t="s">
        <v>329</v>
      </c>
    </row>
    <row r="70" spans="1:3" x14ac:dyDescent="0.25">
      <c r="A70">
        <v>9</v>
      </c>
      <c r="B70" t="s">
        <v>20</v>
      </c>
      <c r="C70" t="s">
        <v>329</v>
      </c>
    </row>
    <row r="71" spans="1:3" x14ac:dyDescent="0.25">
      <c r="A71">
        <v>9</v>
      </c>
      <c r="B71" t="s">
        <v>21</v>
      </c>
      <c r="C71" t="s">
        <v>329</v>
      </c>
    </row>
    <row r="72" spans="1:3" x14ac:dyDescent="0.25">
      <c r="A72">
        <v>9</v>
      </c>
      <c r="B72" t="s">
        <v>22</v>
      </c>
      <c r="C72" t="s">
        <v>329</v>
      </c>
    </row>
    <row r="73" spans="1:3" x14ac:dyDescent="0.25">
      <c r="A73">
        <v>9</v>
      </c>
      <c r="B73" t="s">
        <v>23</v>
      </c>
      <c r="C73" t="s">
        <v>329</v>
      </c>
    </row>
    <row r="74" spans="1:3" x14ac:dyDescent="0.25">
      <c r="A74">
        <v>10</v>
      </c>
      <c r="B74" t="s">
        <v>16</v>
      </c>
      <c r="C74" t="s">
        <v>329</v>
      </c>
    </row>
    <row r="75" spans="1:3" x14ac:dyDescent="0.25">
      <c r="A75">
        <v>10</v>
      </c>
      <c r="B75" t="s">
        <v>17</v>
      </c>
      <c r="C75" t="s">
        <v>329</v>
      </c>
    </row>
    <row r="76" spans="1:3" x14ac:dyDescent="0.25">
      <c r="A76">
        <v>10</v>
      </c>
      <c r="B76" t="s">
        <v>18</v>
      </c>
      <c r="C76" t="s">
        <v>329</v>
      </c>
    </row>
    <row r="77" spans="1:3" x14ac:dyDescent="0.25">
      <c r="A77">
        <v>10</v>
      </c>
      <c r="B77" t="s">
        <v>19</v>
      </c>
      <c r="C77" t="s">
        <v>717</v>
      </c>
    </row>
    <row r="78" spans="1:3" x14ac:dyDescent="0.25">
      <c r="A78">
        <v>10</v>
      </c>
      <c r="B78" t="s">
        <v>20</v>
      </c>
      <c r="C78" t="s">
        <v>717</v>
      </c>
    </row>
    <row r="79" spans="1:3" x14ac:dyDescent="0.25">
      <c r="A79">
        <v>10</v>
      </c>
      <c r="B79" t="s">
        <v>21</v>
      </c>
      <c r="C79" t="s">
        <v>329</v>
      </c>
    </row>
    <row r="80" spans="1:3" x14ac:dyDescent="0.25">
      <c r="A80">
        <v>10</v>
      </c>
      <c r="B80" t="s">
        <v>22</v>
      </c>
      <c r="C80" t="s">
        <v>329</v>
      </c>
    </row>
    <row r="81" spans="1:3" x14ac:dyDescent="0.25">
      <c r="A81">
        <v>10</v>
      </c>
      <c r="B81" t="s">
        <v>23</v>
      </c>
      <c r="C81" t="s">
        <v>717</v>
      </c>
    </row>
    <row r="82" spans="1:3" x14ac:dyDescent="0.25">
      <c r="A82">
        <v>11</v>
      </c>
      <c r="B82" t="s">
        <v>16</v>
      </c>
      <c r="C82" t="s">
        <v>329</v>
      </c>
    </row>
    <row r="83" spans="1:3" x14ac:dyDescent="0.25">
      <c r="A83">
        <v>11</v>
      </c>
      <c r="B83" t="s">
        <v>17</v>
      </c>
      <c r="C83" t="s">
        <v>329</v>
      </c>
    </row>
    <row r="84" spans="1:3" x14ac:dyDescent="0.25">
      <c r="A84">
        <v>11</v>
      </c>
      <c r="B84" t="s">
        <v>18</v>
      </c>
      <c r="C84" t="s">
        <v>329</v>
      </c>
    </row>
    <row r="85" spans="1:3" x14ac:dyDescent="0.25">
      <c r="A85">
        <v>11</v>
      </c>
      <c r="B85" t="s">
        <v>19</v>
      </c>
      <c r="C85" t="s">
        <v>329</v>
      </c>
    </row>
    <row r="86" spans="1:3" x14ac:dyDescent="0.25">
      <c r="A86">
        <v>11</v>
      </c>
      <c r="B86" t="s">
        <v>20</v>
      </c>
      <c r="C86" t="s">
        <v>329</v>
      </c>
    </row>
    <row r="87" spans="1:3" x14ac:dyDescent="0.25">
      <c r="A87">
        <v>11</v>
      </c>
      <c r="B87" t="s">
        <v>21</v>
      </c>
      <c r="C87" t="s">
        <v>329</v>
      </c>
    </row>
    <row r="88" spans="1:3" x14ac:dyDescent="0.25">
      <c r="A88">
        <v>11</v>
      </c>
      <c r="B88" t="s">
        <v>22</v>
      </c>
      <c r="C88" t="s">
        <v>329</v>
      </c>
    </row>
    <row r="89" spans="1:3" x14ac:dyDescent="0.25">
      <c r="A89">
        <v>11</v>
      </c>
      <c r="B89" t="s">
        <v>23</v>
      </c>
      <c r="C89" t="s">
        <v>369</v>
      </c>
    </row>
    <row r="90" spans="1:3" x14ac:dyDescent="0.25">
      <c r="A90">
        <v>12</v>
      </c>
      <c r="B90" t="s">
        <v>16</v>
      </c>
      <c r="C90" t="s">
        <v>329</v>
      </c>
    </row>
    <row r="91" spans="1:3" x14ac:dyDescent="0.25">
      <c r="A91">
        <v>12</v>
      </c>
      <c r="B91" t="s">
        <v>17</v>
      </c>
      <c r="C91" t="s">
        <v>32</v>
      </c>
    </row>
    <row r="92" spans="1:3" x14ac:dyDescent="0.25">
      <c r="A92">
        <v>12</v>
      </c>
      <c r="B92" t="s">
        <v>18</v>
      </c>
      <c r="C92" t="s">
        <v>717</v>
      </c>
    </row>
    <row r="93" spans="1:3" x14ac:dyDescent="0.25">
      <c r="A93">
        <v>12</v>
      </c>
      <c r="B93" t="s">
        <v>19</v>
      </c>
      <c r="C93" t="s">
        <v>369</v>
      </c>
    </row>
    <row r="94" spans="1:3" x14ac:dyDescent="0.25">
      <c r="A94">
        <v>12</v>
      </c>
      <c r="B94" t="s">
        <v>20</v>
      </c>
      <c r="C94" t="s">
        <v>369</v>
      </c>
    </row>
    <row r="95" spans="1:3" x14ac:dyDescent="0.25">
      <c r="A95">
        <v>12</v>
      </c>
      <c r="B95" t="s">
        <v>21</v>
      </c>
      <c r="C95" t="s">
        <v>32</v>
      </c>
    </row>
    <row r="96" spans="1:3" x14ac:dyDescent="0.25">
      <c r="A96">
        <v>12</v>
      </c>
      <c r="B96" t="s">
        <v>22</v>
      </c>
      <c r="C96" t="s">
        <v>369</v>
      </c>
    </row>
    <row r="97" spans="1:3" x14ac:dyDescent="0.25">
      <c r="A97">
        <v>12</v>
      </c>
      <c r="B97" t="s">
        <v>23</v>
      </c>
      <c r="C97" t="s">
        <v>329</v>
      </c>
    </row>
    <row r="98" spans="1:3" x14ac:dyDescent="0.25">
      <c r="A98">
        <v>13</v>
      </c>
      <c r="B98" t="s">
        <v>16</v>
      </c>
      <c r="C98" t="s">
        <v>369</v>
      </c>
    </row>
    <row r="99" spans="1:3" x14ac:dyDescent="0.25">
      <c r="A99">
        <v>13</v>
      </c>
      <c r="B99" t="s">
        <v>17</v>
      </c>
      <c r="C99" t="s">
        <v>32</v>
      </c>
    </row>
    <row r="100" spans="1:3" x14ac:dyDescent="0.25">
      <c r="A100">
        <v>13</v>
      </c>
      <c r="B100" t="s">
        <v>18</v>
      </c>
      <c r="C100" t="s">
        <v>32</v>
      </c>
    </row>
    <row r="101" spans="1:3" x14ac:dyDescent="0.25">
      <c r="A101">
        <v>13</v>
      </c>
      <c r="B101" t="s">
        <v>19</v>
      </c>
      <c r="C101" t="s">
        <v>32</v>
      </c>
    </row>
    <row r="102" spans="1:3" x14ac:dyDescent="0.25">
      <c r="A102">
        <v>13</v>
      </c>
      <c r="B102" t="s">
        <v>20</v>
      </c>
      <c r="C102" t="s">
        <v>32</v>
      </c>
    </row>
    <row r="103" spans="1:3" x14ac:dyDescent="0.25">
      <c r="A103">
        <v>13</v>
      </c>
      <c r="B103" t="s">
        <v>21</v>
      </c>
      <c r="C103" t="s">
        <v>369</v>
      </c>
    </row>
    <row r="104" spans="1:3" x14ac:dyDescent="0.25">
      <c r="A104">
        <v>13</v>
      </c>
      <c r="B104" t="s">
        <v>22</v>
      </c>
      <c r="C104" t="s">
        <v>32</v>
      </c>
    </row>
    <row r="105" spans="1:3" x14ac:dyDescent="0.25">
      <c r="A105">
        <v>13</v>
      </c>
      <c r="B105" t="s">
        <v>23</v>
      </c>
      <c r="C105" t="s">
        <v>369</v>
      </c>
    </row>
    <row r="106" spans="1:3" x14ac:dyDescent="0.25">
      <c r="A106">
        <v>14</v>
      </c>
      <c r="B106" t="s">
        <v>16</v>
      </c>
      <c r="C106" t="s">
        <v>32</v>
      </c>
    </row>
    <row r="107" spans="1:3" x14ac:dyDescent="0.25">
      <c r="A107">
        <v>14</v>
      </c>
      <c r="B107" t="s">
        <v>17</v>
      </c>
      <c r="C107" t="s">
        <v>329</v>
      </c>
    </row>
    <row r="108" spans="1:3" x14ac:dyDescent="0.25">
      <c r="A108">
        <v>14</v>
      </c>
      <c r="B108" t="s">
        <v>18</v>
      </c>
      <c r="C108" t="s">
        <v>717</v>
      </c>
    </row>
    <row r="109" spans="1:3" x14ac:dyDescent="0.25">
      <c r="A109">
        <v>14</v>
      </c>
      <c r="B109" t="s">
        <v>19</v>
      </c>
      <c r="C109" t="s">
        <v>717</v>
      </c>
    </row>
    <row r="110" spans="1:3" x14ac:dyDescent="0.25">
      <c r="A110">
        <v>14</v>
      </c>
      <c r="B110" t="s">
        <v>20</v>
      </c>
      <c r="C110" t="s">
        <v>32</v>
      </c>
    </row>
    <row r="111" spans="1:3" x14ac:dyDescent="0.25">
      <c r="A111">
        <v>14</v>
      </c>
      <c r="B111" t="s">
        <v>21</v>
      </c>
      <c r="C111" t="s">
        <v>329</v>
      </c>
    </row>
    <row r="112" spans="1:3" x14ac:dyDescent="0.25">
      <c r="A112">
        <v>14</v>
      </c>
      <c r="B112" t="s">
        <v>22</v>
      </c>
      <c r="C112" t="s">
        <v>329</v>
      </c>
    </row>
    <row r="113" spans="1:3" x14ac:dyDescent="0.25">
      <c r="A113">
        <v>14</v>
      </c>
      <c r="B113" t="s">
        <v>23</v>
      </c>
      <c r="C113" t="s">
        <v>329</v>
      </c>
    </row>
    <row r="114" spans="1:3" x14ac:dyDescent="0.25">
      <c r="A114">
        <v>15</v>
      </c>
      <c r="B114" t="s">
        <v>16</v>
      </c>
      <c r="C114" t="s">
        <v>329</v>
      </c>
    </row>
    <row r="115" spans="1:3" x14ac:dyDescent="0.25">
      <c r="A115">
        <v>15</v>
      </c>
      <c r="B115" t="s">
        <v>17</v>
      </c>
      <c r="C115" t="s">
        <v>32</v>
      </c>
    </row>
    <row r="116" spans="1:3" x14ac:dyDescent="0.25">
      <c r="A116">
        <v>15</v>
      </c>
      <c r="B116" t="s">
        <v>18</v>
      </c>
      <c r="C116" t="s">
        <v>329</v>
      </c>
    </row>
    <row r="117" spans="1:3" x14ac:dyDescent="0.25">
      <c r="A117">
        <v>15</v>
      </c>
      <c r="B117" t="s">
        <v>19</v>
      </c>
      <c r="C117" t="s">
        <v>329</v>
      </c>
    </row>
    <row r="118" spans="1:3" x14ac:dyDescent="0.25">
      <c r="A118">
        <v>15</v>
      </c>
      <c r="B118" t="s">
        <v>20</v>
      </c>
      <c r="C118" t="s">
        <v>329</v>
      </c>
    </row>
    <row r="119" spans="1:3" x14ac:dyDescent="0.25">
      <c r="A119">
        <v>15</v>
      </c>
      <c r="B119" t="s">
        <v>21</v>
      </c>
      <c r="C119" t="s">
        <v>329</v>
      </c>
    </row>
    <row r="120" spans="1:3" x14ac:dyDescent="0.25">
      <c r="A120">
        <v>15</v>
      </c>
      <c r="B120" t="s">
        <v>22</v>
      </c>
      <c r="C120" t="s">
        <v>329</v>
      </c>
    </row>
    <row r="121" spans="1:3" x14ac:dyDescent="0.25">
      <c r="A121">
        <v>15</v>
      </c>
      <c r="B121" t="s">
        <v>23</v>
      </c>
      <c r="C121" t="s">
        <v>717</v>
      </c>
    </row>
    <row r="122" spans="1:3" x14ac:dyDescent="0.25">
      <c r="A122">
        <v>16</v>
      </c>
      <c r="B122" t="s">
        <v>16</v>
      </c>
      <c r="C122" t="s">
        <v>717</v>
      </c>
    </row>
    <row r="123" spans="1:3" x14ac:dyDescent="0.25">
      <c r="A123">
        <v>16</v>
      </c>
      <c r="B123" t="s">
        <v>17</v>
      </c>
      <c r="C123" t="s">
        <v>32</v>
      </c>
    </row>
    <row r="124" spans="1:3" x14ac:dyDescent="0.25">
      <c r="A124">
        <v>16</v>
      </c>
      <c r="B124" t="s">
        <v>18</v>
      </c>
      <c r="C124" t="s">
        <v>32</v>
      </c>
    </row>
    <row r="125" spans="1:3" x14ac:dyDescent="0.25">
      <c r="A125">
        <v>16</v>
      </c>
      <c r="B125" t="s">
        <v>19</v>
      </c>
      <c r="C125" t="s">
        <v>717</v>
      </c>
    </row>
    <row r="126" spans="1:3" x14ac:dyDescent="0.25">
      <c r="A126">
        <v>16</v>
      </c>
      <c r="B126" t="s">
        <v>20</v>
      </c>
      <c r="C126" t="s">
        <v>717</v>
      </c>
    </row>
    <row r="127" spans="1:3" x14ac:dyDescent="0.25">
      <c r="A127">
        <v>16</v>
      </c>
      <c r="B127" t="s">
        <v>21</v>
      </c>
      <c r="C127" t="s">
        <v>717</v>
      </c>
    </row>
    <row r="128" spans="1:3" x14ac:dyDescent="0.25">
      <c r="A128">
        <v>16</v>
      </c>
      <c r="B128" t="s">
        <v>22</v>
      </c>
      <c r="C128" t="s">
        <v>717</v>
      </c>
    </row>
    <row r="129" spans="1:3" x14ac:dyDescent="0.25">
      <c r="A129">
        <v>16</v>
      </c>
      <c r="B129" t="s">
        <v>23</v>
      </c>
      <c r="C129" t="s">
        <v>717</v>
      </c>
    </row>
    <row r="130" spans="1:3" x14ac:dyDescent="0.25">
      <c r="A130">
        <v>17</v>
      </c>
      <c r="B130" t="s">
        <v>16</v>
      </c>
      <c r="C130" t="s">
        <v>329</v>
      </c>
    </row>
    <row r="131" spans="1:3" x14ac:dyDescent="0.25">
      <c r="A131">
        <v>17</v>
      </c>
      <c r="B131" t="s">
        <v>17</v>
      </c>
      <c r="C131" t="s">
        <v>329</v>
      </c>
    </row>
    <row r="132" spans="1:3" x14ac:dyDescent="0.25">
      <c r="A132">
        <v>17</v>
      </c>
      <c r="B132" t="s">
        <v>18</v>
      </c>
      <c r="C132" t="s">
        <v>32</v>
      </c>
    </row>
    <row r="133" spans="1:3" x14ac:dyDescent="0.25">
      <c r="A133">
        <v>17</v>
      </c>
      <c r="B133" t="s">
        <v>19</v>
      </c>
      <c r="C133" t="s">
        <v>32</v>
      </c>
    </row>
    <row r="134" spans="1:3" x14ac:dyDescent="0.25">
      <c r="A134">
        <v>17</v>
      </c>
      <c r="B134" t="s">
        <v>20</v>
      </c>
      <c r="C134" t="s">
        <v>32</v>
      </c>
    </row>
    <row r="135" spans="1:3" x14ac:dyDescent="0.25">
      <c r="A135">
        <v>17</v>
      </c>
      <c r="B135" t="s">
        <v>21</v>
      </c>
      <c r="C135" t="s">
        <v>329</v>
      </c>
    </row>
    <row r="136" spans="1:3" x14ac:dyDescent="0.25">
      <c r="A136">
        <v>17</v>
      </c>
      <c r="B136" t="s">
        <v>22</v>
      </c>
      <c r="C136" t="s">
        <v>32</v>
      </c>
    </row>
    <row r="137" spans="1:3" x14ac:dyDescent="0.25">
      <c r="A137">
        <v>17</v>
      </c>
      <c r="B137" t="s">
        <v>23</v>
      </c>
      <c r="C137" t="s">
        <v>369</v>
      </c>
    </row>
    <row r="138" spans="1:3" x14ac:dyDescent="0.25">
      <c r="A138">
        <v>18</v>
      </c>
      <c r="B138" t="s">
        <v>16</v>
      </c>
      <c r="C138" t="s">
        <v>32</v>
      </c>
    </row>
    <row r="139" spans="1:3" x14ac:dyDescent="0.25">
      <c r="A139">
        <v>18</v>
      </c>
      <c r="B139" t="s">
        <v>17</v>
      </c>
      <c r="C139" t="s">
        <v>32</v>
      </c>
    </row>
    <row r="140" spans="1:3" x14ac:dyDescent="0.25">
      <c r="A140">
        <v>18</v>
      </c>
      <c r="B140" t="s">
        <v>18</v>
      </c>
      <c r="C140" t="s">
        <v>32</v>
      </c>
    </row>
    <row r="141" spans="1:3" x14ac:dyDescent="0.25">
      <c r="A141">
        <v>18</v>
      </c>
      <c r="B141" t="s">
        <v>19</v>
      </c>
      <c r="C141" t="s">
        <v>32</v>
      </c>
    </row>
    <row r="142" spans="1:3" x14ac:dyDescent="0.25">
      <c r="A142">
        <v>18</v>
      </c>
      <c r="B142" t="s">
        <v>20</v>
      </c>
      <c r="C142" t="s">
        <v>32</v>
      </c>
    </row>
    <row r="143" spans="1:3" x14ac:dyDescent="0.25">
      <c r="A143">
        <v>18</v>
      </c>
      <c r="B143" t="s">
        <v>21</v>
      </c>
      <c r="C143" t="s">
        <v>32</v>
      </c>
    </row>
    <row r="144" spans="1:3" x14ac:dyDescent="0.25">
      <c r="A144">
        <v>18</v>
      </c>
      <c r="B144" t="s">
        <v>22</v>
      </c>
      <c r="C144" t="s">
        <v>32</v>
      </c>
    </row>
    <row r="145" spans="1:3" x14ac:dyDescent="0.25">
      <c r="A145">
        <v>18</v>
      </c>
      <c r="B145" t="s">
        <v>23</v>
      </c>
      <c r="C145" t="s">
        <v>32</v>
      </c>
    </row>
    <row r="146" spans="1:3" x14ac:dyDescent="0.25">
      <c r="A146">
        <v>19</v>
      </c>
      <c r="B146" t="s">
        <v>16</v>
      </c>
      <c r="C146" t="s">
        <v>329</v>
      </c>
    </row>
    <row r="147" spans="1:3" x14ac:dyDescent="0.25">
      <c r="A147">
        <v>19</v>
      </c>
      <c r="B147" t="s">
        <v>17</v>
      </c>
      <c r="C147" t="s">
        <v>329</v>
      </c>
    </row>
    <row r="148" spans="1:3" x14ac:dyDescent="0.25">
      <c r="A148">
        <v>19</v>
      </c>
      <c r="B148" t="s">
        <v>18</v>
      </c>
      <c r="C148" t="s">
        <v>329</v>
      </c>
    </row>
    <row r="149" spans="1:3" x14ac:dyDescent="0.25">
      <c r="A149">
        <v>19</v>
      </c>
      <c r="B149" t="s">
        <v>19</v>
      </c>
      <c r="C149" t="s">
        <v>32</v>
      </c>
    </row>
    <row r="150" spans="1:3" x14ac:dyDescent="0.25">
      <c r="A150">
        <v>19</v>
      </c>
      <c r="B150" t="s">
        <v>20</v>
      </c>
      <c r="C150" t="s">
        <v>329</v>
      </c>
    </row>
    <row r="151" spans="1:3" x14ac:dyDescent="0.25">
      <c r="A151">
        <v>19</v>
      </c>
      <c r="B151" t="s">
        <v>21</v>
      </c>
      <c r="C151" t="s">
        <v>32</v>
      </c>
    </row>
    <row r="152" spans="1:3" x14ac:dyDescent="0.25">
      <c r="A152">
        <v>19</v>
      </c>
      <c r="B152" t="s">
        <v>22</v>
      </c>
      <c r="C152" t="s">
        <v>717</v>
      </c>
    </row>
    <row r="153" spans="1:3" x14ac:dyDescent="0.25">
      <c r="A153">
        <v>19</v>
      </c>
      <c r="B153" t="s">
        <v>23</v>
      </c>
      <c r="C153" t="s">
        <v>717</v>
      </c>
    </row>
    <row r="154" spans="1:3" x14ac:dyDescent="0.25">
      <c r="A154">
        <v>20</v>
      </c>
      <c r="B154" t="s">
        <v>16</v>
      </c>
      <c r="C154" t="s">
        <v>329</v>
      </c>
    </row>
    <row r="155" spans="1:3" x14ac:dyDescent="0.25">
      <c r="A155">
        <v>20</v>
      </c>
      <c r="B155" t="s">
        <v>17</v>
      </c>
      <c r="C155" t="s">
        <v>329</v>
      </c>
    </row>
    <row r="156" spans="1:3" x14ac:dyDescent="0.25">
      <c r="A156">
        <v>20</v>
      </c>
      <c r="B156" t="s">
        <v>18</v>
      </c>
      <c r="C156" t="s">
        <v>329</v>
      </c>
    </row>
    <row r="157" spans="1:3" x14ac:dyDescent="0.25">
      <c r="A157">
        <v>20</v>
      </c>
      <c r="B157" t="s">
        <v>19</v>
      </c>
      <c r="C157" t="s">
        <v>329</v>
      </c>
    </row>
    <row r="158" spans="1:3" x14ac:dyDescent="0.25">
      <c r="A158">
        <v>20</v>
      </c>
      <c r="B158" t="s">
        <v>20</v>
      </c>
      <c r="C158" t="s">
        <v>329</v>
      </c>
    </row>
    <row r="159" spans="1:3" x14ac:dyDescent="0.25">
      <c r="A159">
        <v>20</v>
      </c>
      <c r="B159" t="s">
        <v>21</v>
      </c>
      <c r="C159" t="s">
        <v>329</v>
      </c>
    </row>
    <row r="160" spans="1:3" x14ac:dyDescent="0.25">
      <c r="A160">
        <v>20</v>
      </c>
      <c r="B160" t="s">
        <v>22</v>
      </c>
      <c r="C160" t="s">
        <v>329</v>
      </c>
    </row>
    <row r="161" spans="1:3" x14ac:dyDescent="0.25">
      <c r="A161">
        <v>20</v>
      </c>
      <c r="B161" t="s">
        <v>23</v>
      </c>
      <c r="C161" t="s">
        <v>329</v>
      </c>
    </row>
    <row r="162" spans="1:3" x14ac:dyDescent="0.25">
      <c r="A162">
        <v>21</v>
      </c>
      <c r="B162" t="s">
        <v>16</v>
      </c>
      <c r="C162" t="s">
        <v>329</v>
      </c>
    </row>
    <row r="163" spans="1:3" x14ac:dyDescent="0.25">
      <c r="A163">
        <v>21</v>
      </c>
      <c r="B163" t="s">
        <v>17</v>
      </c>
      <c r="C163" t="s">
        <v>329</v>
      </c>
    </row>
    <row r="164" spans="1:3" x14ac:dyDescent="0.25">
      <c r="A164">
        <v>21</v>
      </c>
      <c r="B164" t="s">
        <v>18</v>
      </c>
      <c r="C164" t="s">
        <v>329</v>
      </c>
    </row>
    <row r="165" spans="1:3" x14ac:dyDescent="0.25">
      <c r="A165">
        <v>21</v>
      </c>
      <c r="B165" t="s">
        <v>19</v>
      </c>
      <c r="C165" t="s">
        <v>329</v>
      </c>
    </row>
    <row r="166" spans="1:3" x14ac:dyDescent="0.25">
      <c r="A166">
        <v>21</v>
      </c>
      <c r="B166" t="s">
        <v>20</v>
      </c>
      <c r="C166" t="s">
        <v>329</v>
      </c>
    </row>
    <row r="167" spans="1:3" x14ac:dyDescent="0.25">
      <c r="A167">
        <v>21</v>
      </c>
      <c r="B167" t="s">
        <v>21</v>
      </c>
      <c r="C167" t="s">
        <v>369</v>
      </c>
    </row>
    <row r="168" spans="1:3" x14ac:dyDescent="0.25">
      <c r="A168">
        <v>21</v>
      </c>
      <c r="B168" t="s">
        <v>22</v>
      </c>
      <c r="C168" t="s">
        <v>369</v>
      </c>
    </row>
    <row r="169" spans="1:3" x14ac:dyDescent="0.25">
      <c r="A169">
        <v>21</v>
      </c>
      <c r="B169" t="s">
        <v>23</v>
      </c>
      <c r="C169" t="s">
        <v>369</v>
      </c>
    </row>
    <row r="170" spans="1:3" x14ac:dyDescent="0.25">
      <c r="A170">
        <v>22</v>
      </c>
      <c r="B170" t="s">
        <v>16</v>
      </c>
      <c r="C170" t="s">
        <v>329</v>
      </c>
    </row>
    <row r="171" spans="1:3" x14ac:dyDescent="0.25">
      <c r="A171">
        <v>22</v>
      </c>
      <c r="B171" t="s">
        <v>17</v>
      </c>
      <c r="C171" t="s">
        <v>369</v>
      </c>
    </row>
    <row r="172" spans="1:3" x14ac:dyDescent="0.25">
      <c r="A172">
        <v>22</v>
      </c>
      <c r="B172" t="s">
        <v>18</v>
      </c>
      <c r="C172" t="s">
        <v>32</v>
      </c>
    </row>
    <row r="173" spans="1:3" x14ac:dyDescent="0.25">
      <c r="A173">
        <v>22</v>
      </c>
      <c r="B173" t="s">
        <v>19</v>
      </c>
      <c r="C173" t="s">
        <v>329</v>
      </c>
    </row>
    <row r="174" spans="1:3" x14ac:dyDescent="0.25">
      <c r="A174">
        <v>22</v>
      </c>
      <c r="B174" t="s">
        <v>20</v>
      </c>
      <c r="C174" t="s">
        <v>369</v>
      </c>
    </row>
    <row r="175" spans="1:3" x14ac:dyDescent="0.25">
      <c r="A175">
        <v>22</v>
      </c>
      <c r="B175" t="s">
        <v>21</v>
      </c>
      <c r="C175" t="s">
        <v>329</v>
      </c>
    </row>
    <row r="176" spans="1:3" x14ac:dyDescent="0.25">
      <c r="A176">
        <v>22</v>
      </c>
      <c r="B176" t="s">
        <v>22</v>
      </c>
      <c r="C176" t="s">
        <v>329</v>
      </c>
    </row>
    <row r="177" spans="1:3" x14ac:dyDescent="0.25">
      <c r="A177">
        <v>22</v>
      </c>
      <c r="B177" t="s">
        <v>23</v>
      </c>
      <c r="C177" t="s">
        <v>369</v>
      </c>
    </row>
    <row r="178" spans="1:3" x14ac:dyDescent="0.25">
      <c r="A178">
        <v>23</v>
      </c>
      <c r="B178" t="s">
        <v>16</v>
      </c>
      <c r="C178" t="s">
        <v>329</v>
      </c>
    </row>
    <row r="179" spans="1:3" x14ac:dyDescent="0.25">
      <c r="A179">
        <v>23</v>
      </c>
      <c r="B179" t="s">
        <v>17</v>
      </c>
      <c r="C179" t="s">
        <v>329</v>
      </c>
    </row>
    <row r="180" spans="1:3" x14ac:dyDescent="0.25">
      <c r="A180">
        <v>23</v>
      </c>
      <c r="B180" t="s">
        <v>18</v>
      </c>
      <c r="C180" t="s">
        <v>329</v>
      </c>
    </row>
    <row r="181" spans="1:3" x14ac:dyDescent="0.25">
      <c r="A181">
        <v>23</v>
      </c>
      <c r="B181" t="s">
        <v>19</v>
      </c>
      <c r="C181" t="s">
        <v>329</v>
      </c>
    </row>
    <row r="182" spans="1:3" x14ac:dyDescent="0.25">
      <c r="A182">
        <v>23</v>
      </c>
      <c r="B182" t="s">
        <v>20</v>
      </c>
      <c r="C182" t="s">
        <v>369</v>
      </c>
    </row>
    <row r="183" spans="1:3" x14ac:dyDescent="0.25">
      <c r="A183">
        <v>23</v>
      </c>
      <c r="B183" t="s">
        <v>21</v>
      </c>
      <c r="C183" t="s">
        <v>369</v>
      </c>
    </row>
    <row r="184" spans="1:3" x14ac:dyDescent="0.25">
      <c r="A184">
        <v>23</v>
      </c>
      <c r="B184" t="s">
        <v>22</v>
      </c>
      <c r="C184" t="s">
        <v>329</v>
      </c>
    </row>
    <row r="185" spans="1:3" x14ac:dyDescent="0.25">
      <c r="A185">
        <v>23</v>
      </c>
      <c r="B185" t="s">
        <v>23</v>
      </c>
      <c r="C185" t="s">
        <v>369</v>
      </c>
    </row>
    <row r="186" spans="1:3" x14ac:dyDescent="0.25">
      <c r="A186">
        <v>24</v>
      </c>
      <c r="B186" t="s">
        <v>16</v>
      </c>
      <c r="C186" t="s">
        <v>717</v>
      </c>
    </row>
    <row r="187" spans="1:3" x14ac:dyDescent="0.25">
      <c r="A187">
        <v>24</v>
      </c>
      <c r="B187" t="s">
        <v>17</v>
      </c>
      <c r="C187" t="s">
        <v>717</v>
      </c>
    </row>
    <row r="188" spans="1:3" x14ac:dyDescent="0.25">
      <c r="A188">
        <v>24</v>
      </c>
      <c r="B188" t="s">
        <v>18</v>
      </c>
      <c r="C188" t="s">
        <v>329</v>
      </c>
    </row>
    <row r="189" spans="1:3" x14ac:dyDescent="0.25">
      <c r="A189">
        <v>24</v>
      </c>
      <c r="B189" t="s">
        <v>19</v>
      </c>
      <c r="C189" t="s">
        <v>717</v>
      </c>
    </row>
    <row r="190" spans="1:3" x14ac:dyDescent="0.25">
      <c r="A190">
        <v>24</v>
      </c>
      <c r="B190" t="s">
        <v>20</v>
      </c>
      <c r="C190" t="s">
        <v>32</v>
      </c>
    </row>
    <row r="191" spans="1:3" x14ac:dyDescent="0.25">
      <c r="A191">
        <v>24</v>
      </c>
      <c r="B191" t="s">
        <v>21</v>
      </c>
      <c r="C191" t="s">
        <v>32</v>
      </c>
    </row>
    <row r="192" spans="1:3" x14ac:dyDescent="0.25">
      <c r="A192">
        <v>24</v>
      </c>
      <c r="B192" t="s">
        <v>22</v>
      </c>
      <c r="C192" t="s">
        <v>32</v>
      </c>
    </row>
    <row r="193" spans="1:3" x14ac:dyDescent="0.25">
      <c r="A193">
        <v>24</v>
      </c>
      <c r="B193" t="s">
        <v>23</v>
      </c>
      <c r="C193" t="s">
        <v>329</v>
      </c>
    </row>
    <row r="194" spans="1:3" x14ac:dyDescent="0.25">
      <c r="A194">
        <v>25</v>
      </c>
      <c r="B194" t="s">
        <v>16</v>
      </c>
      <c r="C194" t="s">
        <v>329</v>
      </c>
    </row>
    <row r="195" spans="1:3" x14ac:dyDescent="0.25">
      <c r="A195">
        <v>25</v>
      </c>
      <c r="B195" t="s">
        <v>17</v>
      </c>
      <c r="C195" t="s">
        <v>717</v>
      </c>
    </row>
    <row r="196" spans="1:3" x14ac:dyDescent="0.25">
      <c r="A196">
        <v>25</v>
      </c>
      <c r="B196" t="s">
        <v>18</v>
      </c>
      <c r="C196" t="s">
        <v>32</v>
      </c>
    </row>
    <row r="197" spans="1:3" x14ac:dyDescent="0.25">
      <c r="A197">
        <v>25</v>
      </c>
      <c r="B197" t="s">
        <v>19</v>
      </c>
      <c r="C197" t="s">
        <v>32</v>
      </c>
    </row>
    <row r="198" spans="1:3" x14ac:dyDescent="0.25">
      <c r="A198">
        <v>25</v>
      </c>
      <c r="B198" t="s">
        <v>20</v>
      </c>
      <c r="C198" t="s">
        <v>329</v>
      </c>
    </row>
    <row r="199" spans="1:3" x14ac:dyDescent="0.25">
      <c r="A199">
        <v>25</v>
      </c>
      <c r="B199" t="s">
        <v>21</v>
      </c>
      <c r="C199" t="s">
        <v>329</v>
      </c>
    </row>
    <row r="200" spans="1:3" x14ac:dyDescent="0.25">
      <c r="A200">
        <v>25</v>
      </c>
      <c r="B200" t="s">
        <v>22</v>
      </c>
      <c r="C200" t="s">
        <v>329</v>
      </c>
    </row>
    <row r="201" spans="1:3" x14ac:dyDescent="0.25">
      <c r="A201">
        <v>25</v>
      </c>
      <c r="B201" t="s">
        <v>23</v>
      </c>
      <c r="C201" t="s">
        <v>329</v>
      </c>
    </row>
    <row r="202" spans="1:3" x14ac:dyDescent="0.25">
      <c r="A202">
        <v>26</v>
      </c>
      <c r="B202" t="s">
        <v>16</v>
      </c>
      <c r="C202" t="s">
        <v>329</v>
      </c>
    </row>
    <row r="203" spans="1:3" x14ac:dyDescent="0.25">
      <c r="A203">
        <v>26</v>
      </c>
      <c r="B203" t="s">
        <v>17</v>
      </c>
      <c r="C203" t="s">
        <v>329</v>
      </c>
    </row>
    <row r="204" spans="1:3" x14ac:dyDescent="0.25">
      <c r="A204">
        <v>26</v>
      </c>
      <c r="B204" t="s">
        <v>18</v>
      </c>
      <c r="C204" t="s">
        <v>32</v>
      </c>
    </row>
    <row r="205" spans="1:3" x14ac:dyDescent="0.25">
      <c r="A205">
        <v>26</v>
      </c>
      <c r="B205" t="s">
        <v>19</v>
      </c>
      <c r="C205" t="s">
        <v>329</v>
      </c>
    </row>
    <row r="206" spans="1:3" x14ac:dyDescent="0.25">
      <c r="A206">
        <v>26</v>
      </c>
      <c r="B206" t="s">
        <v>20</v>
      </c>
      <c r="C206" t="s">
        <v>329</v>
      </c>
    </row>
    <row r="207" spans="1:3" x14ac:dyDescent="0.25">
      <c r="A207">
        <v>26</v>
      </c>
      <c r="B207" t="s">
        <v>21</v>
      </c>
      <c r="C207" t="s">
        <v>369</v>
      </c>
    </row>
    <row r="208" spans="1:3" x14ac:dyDescent="0.25">
      <c r="A208">
        <v>26</v>
      </c>
      <c r="B208" t="s">
        <v>22</v>
      </c>
      <c r="C208" t="s">
        <v>32</v>
      </c>
    </row>
    <row r="209" spans="1:3" x14ac:dyDescent="0.25">
      <c r="A209">
        <v>26</v>
      </c>
      <c r="B209" t="s">
        <v>23</v>
      </c>
      <c r="C209" t="s">
        <v>369</v>
      </c>
    </row>
    <row r="210" spans="1:3" x14ac:dyDescent="0.25">
      <c r="A210">
        <v>27</v>
      </c>
      <c r="B210" t="s">
        <v>16</v>
      </c>
      <c r="C210" t="s">
        <v>32</v>
      </c>
    </row>
    <row r="211" spans="1:3" x14ac:dyDescent="0.25">
      <c r="A211">
        <v>27</v>
      </c>
      <c r="B211" t="s">
        <v>17</v>
      </c>
      <c r="C211" t="s">
        <v>32</v>
      </c>
    </row>
    <row r="212" spans="1:3" x14ac:dyDescent="0.25">
      <c r="A212">
        <v>27</v>
      </c>
      <c r="B212" t="s">
        <v>18</v>
      </c>
      <c r="C212" t="s">
        <v>329</v>
      </c>
    </row>
    <row r="213" spans="1:3" x14ac:dyDescent="0.25">
      <c r="A213">
        <v>27</v>
      </c>
      <c r="B213" t="s">
        <v>19</v>
      </c>
      <c r="C213" t="s">
        <v>329</v>
      </c>
    </row>
    <row r="214" spans="1:3" x14ac:dyDescent="0.25">
      <c r="A214">
        <v>27</v>
      </c>
      <c r="B214" t="s">
        <v>20</v>
      </c>
      <c r="C214" t="s">
        <v>32</v>
      </c>
    </row>
    <row r="215" spans="1:3" x14ac:dyDescent="0.25">
      <c r="A215">
        <v>27</v>
      </c>
      <c r="B215" t="s">
        <v>21</v>
      </c>
      <c r="C215" t="s">
        <v>32</v>
      </c>
    </row>
    <row r="216" spans="1:3" x14ac:dyDescent="0.25">
      <c r="A216">
        <v>27</v>
      </c>
      <c r="B216" t="s">
        <v>22</v>
      </c>
      <c r="C216" t="s">
        <v>32</v>
      </c>
    </row>
    <row r="217" spans="1:3" x14ac:dyDescent="0.25">
      <c r="A217">
        <v>28</v>
      </c>
      <c r="B217" t="s">
        <v>16</v>
      </c>
      <c r="C217" t="s">
        <v>32</v>
      </c>
    </row>
    <row r="218" spans="1:3" x14ac:dyDescent="0.25">
      <c r="A218">
        <v>28</v>
      </c>
      <c r="B218" t="s">
        <v>17</v>
      </c>
      <c r="C218" t="s">
        <v>32</v>
      </c>
    </row>
    <row r="219" spans="1:3" x14ac:dyDescent="0.25">
      <c r="A219">
        <v>28</v>
      </c>
      <c r="B219" t="s">
        <v>18</v>
      </c>
      <c r="C219" t="s">
        <v>32</v>
      </c>
    </row>
    <row r="220" spans="1:3" x14ac:dyDescent="0.25">
      <c r="A220">
        <v>28</v>
      </c>
      <c r="B220" t="s">
        <v>19</v>
      </c>
      <c r="C220" t="s">
        <v>32</v>
      </c>
    </row>
    <row r="221" spans="1:3" x14ac:dyDescent="0.25">
      <c r="A221">
        <v>28</v>
      </c>
      <c r="B221" t="s">
        <v>20</v>
      </c>
      <c r="C221" t="s">
        <v>32</v>
      </c>
    </row>
    <row r="222" spans="1:3" x14ac:dyDescent="0.25">
      <c r="A222">
        <v>28</v>
      </c>
      <c r="B222" t="s">
        <v>21</v>
      </c>
      <c r="C222" t="s">
        <v>32</v>
      </c>
    </row>
    <row r="223" spans="1:3" x14ac:dyDescent="0.25">
      <c r="A223">
        <v>28</v>
      </c>
      <c r="B223" t="s">
        <v>22</v>
      </c>
      <c r="C223" t="s">
        <v>32</v>
      </c>
    </row>
    <row r="224" spans="1:3" x14ac:dyDescent="0.25">
      <c r="A224">
        <v>28</v>
      </c>
      <c r="B224" t="s">
        <v>23</v>
      </c>
      <c r="C224" t="s">
        <v>32</v>
      </c>
    </row>
    <row r="225" spans="1:3" x14ac:dyDescent="0.25">
      <c r="A225">
        <v>29</v>
      </c>
      <c r="B225" t="s">
        <v>16</v>
      </c>
      <c r="C225" t="s">
        <v>329</v>
      </c>
    </row>
    <row r="226" spans="1:3" x14ac:dyDescent="0.25">
      <c r="A226">
        <v>29</v>
      </c>
      <c r="B226" t="s">
        <v>17</v>
      </c>
      <c r="C226" t="s">
        <v>329</v>
      </c>
    </row>
    <row r="227" spans="1:3" x14ac:dyDescent="0.25">
      <c r="A227">
        <v>29</v>
      </c>
      <c r="B227" t="s">
        <v>18</v>
      </c>
      <c r="C227" t="s">
        <v>32</v>
      </c>
    </row>
    <row r="228" spans="1:3" x14ac:dyDescent="0.25">
      <c r="A228">
        <v>29</v>
      </c>
      <c r="B228" t="s">
        <v>19</v>
      </c>
      <c r="C228" t="s">
        <v>329</v>
      </c>
    </row>
    <row r="229" spans="1:3" x14ac:dyDescent="0.25">
      <c r="A229">
        <v>29</v>
      </c>
      <c r="B229" t="s">
        <v>20</v>
      </c>
      <c r="C229" t="s">
        <v>329</v>
      </c>
    </row>
    <row r="230" spans="1:3" x14ac:dyDescent="0.25">
      <c r="A230">
        <v>29</v>
      </c>
      <c r="B230" t="s">
        <v>21</v>
      </c>
      <c r="C230" t="s">
        <v>329</v>
      </c>
    </row>
    <row r="231" spans="1:3" x14ac:dyDescent="0.25">
      <c r="A231">
        <v>29</v>
      </c>
      <c r="B231" t="s">
        <v>22</v>
      </c>
      <c r="C231" t="s">
        <v>329</v>
      </c>
    </row>
    <row r="232" spans="1:3" x14ac:dyDescent="0.25">
      <c r="A232">
        <v>29</v>
      </c>
      <c r="B232" t="s">
        <v>23</v>
      </c>
      <c r="C232" t="s">
        <v>329</v>
      </c>
    </row>
    <row r="233" spans="1:3" x14ac:dyDescent="0.25">
      <c r="A233">
        <v>30</v>
      </c>
      <c r="B233" t="s">
        <v>16</v>
      </c>
      <c r="C233" t="s">
        <v>717</v>
      </c>
    </row>
    <row r="234" spans="1:3" x14ac:dyDescent="0.25">
      <c r="A234">
        <v>30</v>
      </c>
      <c r="B234" t="s">
        <v>17</v>
      </c>
      <c r="C234" t="s">
        <v>717</v>
      </c>
    </row>
    <row r="235" spans="1:3" x14ac:dyDescent="0.25">
      <c r="A235">
        <v>30</v>
      </c>
      <c r="B235" t="s">
        <v>18</v>
      </c>
      <c r="C235" t="s">
        <v>329</v>
      </c>
    </row>
    <row r="236" spans="1:3" x14ac:dyDescent="0.25">
      <c r="A236">
        <v>30</v>
      </c>
      <c r="B236" t="s">
        <v>19</v>
      </c>
      <c r="C236" t="s">
        <v>329</v>
      </c>
    </row>
    <row r="237" spans="1:3" x14ac:dyDescent="0.25">
      <c r="A237">
        <v>30</v>
      </c>
      <c r="B237" t="s">
        <v>20</v>
      </c>
      <c r="C237" t="s">
        <v>717</v>
      </c>
    </row>
    <row r="238" spans="1:3" x14ac:dyDescent="0.25">
      <c r="A238">
        <v>30</v>
      </c>
      <c r="B238" t="s">
        <v>21</v>
      </c>
      <c r="C238" t="s">
        <v>717</v>
      </c>
    </row>
    <row r="239" spans="1:3" x14ac:dyDescent="0.25">
      <c r="A239">
        <v>30</v>
      </c>
      <c r="B239" t="s">
        <v>22</v>
      </c>
      <c r="C239" t="s">
        <v>717</v>
      </c>
    </row>
    <row r="240" spans="1:3" x14ac:dyDescent="0.25">
      <c r="A240">
        <v>30</v>
      </c>
      <c r="B240" t="s">
        <v>23</v>
      </c>
      <c r="C240" t="s">
        <v>329</v>
      </c>
    </row>
    <row r="241" spans="1:3" x14ac:dyDescent="0.25">
      <c r="A241">
        <v>31</v>
      </c>
      <c r="B241" t="s">
        <v>16</v>
      </c>
      <c r="C241" t="s">
        <v>329</v>
      </c>
    </row>
    <row r="242" spans="1:3" x14ac:dyDescent="0.25">
      <c r="A242">
        <v>31</v>
      </c>
      <c r="B242" t="s">
        <v>17</v>
      </c>
      <c r="C242" t="s">
        <v>329</v>
      </c>
    </row>
    <row r="243" spans="1:3" x14ac:dyDescent="0.25">
      <c r="A243">
        <v>31</v>
      </c>
      <c r="B243" t="s">
        <v>18</v>
      </c>
      <c r="C243" t="s">
        <v>329</v>
      </c>
    </row>
    <row r="244" spans="1:3" x14ac:dyDescent="0.25">
      <c r="A244">
        <v>31</v>
      </c>
      <c r="B244" t="s">
        <v>19</v>
      </c>
      <c r="C244" t="s">
        <v>329</v>
      </c>
    </row>
    <row r="245" spans="1:3" x14ac:dyDescent="0.25">
      <c r="A245">
        <v>31</v>
      </c>
      <c r="B245" t="s">
        <v>20</v>
      </c>
      <c r="C245" t="s">
        <v>717</v>
      </c>
    </row>
    <row r="246" spans="1:3" x14ac:dyDescent="0.25">
      <c r="A246">
        <v>31</v>
      </c>
      <c r="B246" t="s">
        <v>21</v>
      </c>
      <c r="C246" t="s">
        <v>329</v>
      </c>
    </row>
    <row r="247" spans="1:3" x14ac:dyDescent="0.25">
      <c r="A247">
        <v>31</v>
      </c>
      <c r="B247" t="s">
        <v>22</v>
      </c>
      <c r="C247" t="s">
        <v>329</v>
      </c>
    </row>
    <row r="248" spans="1:3" x14ac:dyDescent="0.25">
      <c r="A248">
        <v>31</v>
      </c>
      <c r="B248" t="s">
        <v>23</v>
      </c>
      <c r="C248" t="s">
        <v>329</v>
      </c>
    </row>
    <row r="249" spans="1:3" x14ac:dyDescent="0.25">
      <c r="A249">
        <v>32</v>
      </c>
      <c r="B249" t="s">
        <v>16</v>
      </c>
      <c r="C249" t="s">
        <v>717</v>
      </c>
    </row>
    <row r="250" spans="1:3" x14ac:dyDescent="0.25">
      <c r="A250">
        <v>32</v>
      </c>
      <c r="B250" t="s">
        <v>17</v>
      </c>
      <c r="C250" t="s">
        <v>717</v>
      </c>
    </row>
    <row r="251" spans="1:3" x14ac:dyDescent="0.25">
      <c r="A251">
        <v>32</v>
      </c>
      <c r="B251" t="s">
        <v>18</v>
      </c>
      <c r="C251" t="s">
        <v>329</v>
      </c>
    </row>
    <row r="252" spans="1:3" x14ac:dyDescent="0.25">
      <c r="A252">
        <v>32</v>
      </c>
      <c r="B252" t="s">
        <v>19</v>
      </c>
      <c r="C252" t="s">
        <v>717</v>
      </c>
    </row>
    <row r="253" spans="1:3" x14ac:dyDescent="0.25">
      <c r="A253">
        <v>32</v>
      </c>
      <c r="B253" t="s">
        <v>20</v>
      </c>
      <c r="C253" t="s">
        <v>717</v>
      </c>
    </row>
    <row r="254" spans="1:3" x14ac:dyDescent="0.25">
      <c r="A254">
        <v>32</v>
      </c>
      <c r="B254" t="s">
        <v>21</v>
      </c>
      <c r="C254" t="s">
        <v>717</v>
      </c>
    </row>
    <row r="255" spans="1:3" x14ac:dyDescent="0.25">
      <c r="A255">
        <v>32</v>
      </c>
      <c r="B255" t="s">
        <v>22</v>
      </c>
      <c r="C255" t="s">
        <v>717</v>
      </c>
    </row>
    <row r="256" spans="1:3" x14ac:dyDescent="0.25">
      <c r="A256">
        <v>32</v>
      </c>
      <c r="B256" t="s">
        <v>23</v>
      </c>
      <c r="C256" t="s">
        <v>717</v>
      </c>
    </row>
    <row r="257" spans="1:3" x14ac:dyDescent="0.25">
      <c r="A257">
        <v>33</v>
      </c>
      <c r="B257" t="s">
        <v>16</v>
      </c>
      <c r="C257" t="s">
        <v>717</v>
      </c>
    </row>
    <row r="258" spans="1:3" x14ac:dyDescent="0.25">
      <c r="A258">
        <v>33</v>
      </c>
      <c r="B258" t="s">
        <v>17</v>
      </c>
      <c r="C258" t="s">
        <v>32</v>
      </c>
    </row>
    <row r="259" spans="1:3" x14ac:dyDescent="0.25">
      <c r="A259">
        <v>33</v>
      </c>
      <c r="B259" t="s">
        <v>18</v>
      </c>
      <c r="C259" t="s">
        <v>32</v>
      </c>
    </row>
    <row r="260" spans="1:3" x14ac:dyDescent="0.25">
      <c r="A260">
        <v>33</v>
      </c>
      <c r="B260" t="s">
        <v>19</v>
      </c>
      <c r="C260" t="s">
        <v>717</v>
      </c>
    </row>
    <row r="261" spans="1:3" x14ac:dyDescent="0.25">
      <c r="A261">
        <v>33</v>
      </c>
      <c r="B261" t="s">
        <v>20</v>
      </c>
      <c r="C261" t="s">
        <v>717</v>
      </c>
    </row>
    <row r="262" spans="1:3" x14ac:dyDescent="0.25">
      <c r="A262">
        <v>33</v>
      </c>
      <c r="B262" t="s">
        <v>21</v>
      </c>
      <c r="C262" t="s">
        <v>329</v>
      </c>
    </row>
    <row r="263" spans="1:3" x14ac:dyDescent="0.25">
      <c r="A263">
        <v>33</v>
      </c>
      <c r="B263" t="s">
        <v>22</v>
      </c>
      <c r="C263" t="s">
        <v>717</v>
      </c>
    </row>
    <row r="264" spans="1:3" x14ac:dyDescent="0.25">
      <c r="A264">
        <v>33</v>
      </c>
      <c r="B264" t="s">
        <v>23</v>
      </c>
      <c r="C264" t="s">
        <v>329</v>
      </c>
    </row>
    <row r="265" spans="1:3" x14ac:dyDescent="0.25">
      <c r="A265">
        <v>34</v>
      </c>
      <c r="B265" t="s">
        <v>16</v>
      </c>
      <c r="C265" t="s">
        <v>329</v>
      </c>
    </row>
    <row r="266" spans="1:3" x14ac:dyDescent="0.25">
      <c r="A266">
        <v>34</v>
      </c>
      <c r="B266" t="s">
        <v>17</v>
      </c>
      <c r="C266" t="s">
        <v>329</v>
      </c>
    </row>
    <row r="267" spans="1:3" x14ac:dyDescent="0.25">
      <c r="A267">
        <v>34</v>
      </c>
      <c r="B267" t="s">
        <v>18</v>
      </c>
      <c r="C267" t="s">
        <v>329</v>
      </c>
    </row>
    <row r="268" spans="1:3" x14ac:dyDescent="0.25">
      <c r="A268">
        <v>34</v>
      </c>
      <c r="B268" t="s">
        <v>19</v>
      </c>
      <c r="C268" t="s">
        <v>329</v>
      </c>
    </row>
    <row r="269" spans="1:3" x14ac:dyDescent="0.25">
      <c r="A269">
        <v>34</v>
      </c>
      <c r="B269" t="s">
        <v>20</v>
      </c>
      <c r="C269" t="s">
        <v>329</v>
      </c>
    </row>
    <row r="270" spans="1:3" x14ac:dyDescent="0.25">
      <c r="A270">
        <v>34</v>
      </c>
      <c r="B270" t="s">
        <v>21</v>
      </c>
      <c r="C270" t="s">
        <v>329</v>
      </c>
    </row>
    <row r="271" spans="1:3" x14ac:dyDescent="0.25">
      <c r="A271">
        <v>34</v>
      </c>
      <c r="B271" t="s">
        <v>22</v>
      </c>
      <c r="C271" t="s">
        <v>329</v>
      </c>
    </row>
    <row r="272" spans="1:3" x14ac:dyDescent="0.25">
      <c r="A272">
        <v>34</v>
      </c>
      <c r="B272" t="s">
        <v>23</v>
      </c>
      <c r="C272" t="s">
        <v>329</v>
      </c>
    </row>
    <row r="273" spans="1:3" x14ac:dyDescent="0.25">
      <c r="A273">
        <v>35</v>
      </c>
      <c r="B273" t="s">
        <v>16</v>
      </c>
      <c r="C273" t="s">
        <v>32</v>
      </c>
    </row>
    <row r="274" spans="1:3" x14ac:dyDescent="0.25">
      <c r="A274">
        <v>35</v>
      </c>
      <c r="B274" t="s">
        <v>17</v>
      </c>
      <c r="C274" t="s">
        <v>32</v>
      </c>
    </row>
    <row r="275" spans="1:3" x14ac:dyDescent="0.25">
      <c r="A275">
        <v>35</v>
      </c>
      <c r="B275" t="s">
        <v>18</v>
      </c>
      <c r="C275" t="s">
        <v>32</v>
      </c>
    </row>
    <row r="276" spans="1:3" x14ac:dyDescent="0.25">
      <c r="A276">
        <v>35</v>
      </c>
      <c r="B276" t="s">
        <v>19</v>
      </c>
      <c r="C276" t="s">
        <v>329</v>
      </c>
    </row>
    <row r="277" spans="1:3" x14ac:dyDescent="0.25">
      <c r="A277">
        <v>35</v>
      </c>
      <c r="B277" t="s">
        <v>20</v>
      </c>
      <c r="C277" t="s">
        <v>32</v>
      </c>
    </row>
    <row r="278" spans="1:3" x14ac:dyDescent="0.25">
      <c r="A278">
        <v>35</v>
      </c>
      <c r="B278" t="s">
        <v>21</v>
      </c>
      <c r="C278" t="s">
        <v>329</v>
      </c>
    </row>
    <row r="279" spans="1:3" x14ac:dyDescent="0.25">
      <c r="A279">
        <v>35</v>
      </c>
      <c r="B279" t="s">
        <v>22</v>
      </c>
      <c r="C279" t="s">
        <v>329</v>
      </c>
    </row>
    <row r="280" spans="1:3" x14ac:dyDescent="0.25">
      <c r="A280">
        <v>35</v>
      </c>
      <c r="B280" t="s">
        <v>23</v>
      </c>
      <c r="C280" t="s">
        <v>369</v>
      </c>
    </row>
    <row r="281" spans="1:3" x14ac:dyDescent="0.25">
      <c r="A281">
        <v>36</v>
      </c>
      <c r="B281" t="s">
        <v>16</v>
      </c>
      <c r="C281" t="s">
        <v>329</v>
      </c>
    </row>
    <row r="282" spans="1:3" x14ac:dyDescent="0.25">
      <c r="A282">
        <v>36</v>
      </c>
      <c r="B282" t="s">
        <v>17</v>
      </c>
      <c r="C282" t="s">
        <v>329</v>
      </c>
    </row>
    <row r="283" spans="1:3" x14ac:dyDescent="0.25">
      <c r="A283">
        <v>36</v>
      </c>
      <c r="B283" t="s">
        <v>18</v>
      </c>
      <c r="C283" t="s">
        <v>329</v>
      </c>
    </row>
    <row r="284" spans="1:3" x14ac:dyDescent="0.25">
      <c r="A284">
        <v>36</v>
      </c>
      <c r="B284" t="s">
        <v>19</v>
      </c>
      <c r="C284" t="s">
        <v>329</v>
      </c>
    </row>
    <row r="285" spans="1:3" x14ac:dyDescent="0.25">
      <c r="A285">
        <v>36</v>
      </c>
      <c r="B285" t="s">
        <v>20</v>
      </c>
      <c r="C285" t="s">
        <v>329</v>
      </c>
    </row>
    <row r="286" spans="1:3" x14ac:dyDescent="0.25">
      <c r="A286">
        <v>36</v>
      </c>
      <c r="B286" t="s">
        <v>21</v>
      </c>
      <c r="C286" t="s">
        <v>329</v>
      </c>
    </row>
    <row r="287" spans="1:3" x14ac:dyDescent="0.25">
      <c r="A287">
        <v>36</v>
      </c>
      <c r="B287" t="s">
        <v>22</v>
      </c>
      <c r="C287" t="s">
        <v>329</v>
      </c>
    </row>
    <row r="288" spans="1:3" x14ac:dyDescent="0.25">
      <c r="A288">
        <v>36</v>
      </c>
      <c r="B288" t="s">
        <v>23</v>
      </c>
      <c r="C288" t="s">
        <v>369</v>
      </c>
    </row>
    <row r="289" spans="1:3" x14ac:dyDescent="0.25">
      <c r="A289">
        <v>37</v>
      </c>
      <c r="B289" t="s">
        <v>16</v>
      </c>
      <c r="C289" t="s">
        <v>329</v>
      </c>
    </row>
    <row r="290" spans="1:3" x14ac:dyDescent="0.25">
      <c r="A290">
        <v>37</v>
      </c>
      <c r="B290" t="s">
        <v>17</v>
      </c>
      <c r="C290" t="s">
        <v>717</v>
      </c>
    </row>
    <row r="291" spans="1:3" x14ac:dyDescent="0.25">
      <c r="A291">
        <v>37</v>
      </c>
      <c r="B291" t="s">
        <v>18</v>
      </c>
      <c r="C291" t="s">
        <v>329</v>
      </c>
    </row>
    <row r="292" spans="1:3" x14ac:dyDescent="0.25">
      <c r="A292">
        <v>37</v>
      </c>
      <c r="B292" t="s">
        <v>19</v>
      </c>
      <c r="C292" t="s">
        <v>329</v>
      </c>
    </row>
    <row r="293" spans="1:3" x14ac:dyDescent="0.25">
      <c r="A293">
        <v>37</v>
      </c>
      <c r="B293" t="s">
        <v>20</v>
      </c>
      <c r="C293" t="s">
        <v>329</v>
      </c>
    </row>
    <row r="294" spans="1:3" x14ac:dyDescent="0.25">
      <c r="A294">
        <v>37</v>
      </c>
      <c r="B294" t="s">
        <v>21</v>
      </c>
      <c r="C294" t="s">
        <v>329</v>
      </c>
    </row>
    <row r="295" spans="1:3" x14ac:dyDescent="0.25">
      <c r="A295">
        <v>37</v>
      </c>
      <c r="B295" t="s">
        <v>22</v>
      </c>
      <c r="C295" t="s">
        <v>329</v>
      </c>
    </row>
    <row r="296" spans="1:3" x14ac:dyDescent="0.25">
      <c r="A296">
        <v>37</v>
      </c>
      <c r="B296" t="s">
        <v>23</v>
      </c>
      <c r="C296" t="s">
        <v>329</v>
      </c>
    </row>
    <row r="297" spans="1:3" x14ac:dyDescent="0.25">
      <c r="A297">
        <v>38</v>
      </c>
      <c r="B297" t="s">
        <v>16</v>
      </c>
      <c r="C297" t="s">
        <v>329</v>
      </c>
    </row>
    <row r="298" spans="1:3" x14ac:dyDescent="0.25">
      <c r="A298">
        <v>38</v>
      </c>
      <c r="B298" t="s">
        <v>17</v>
      </c>
      <c r="C298" t="s">
        <v>717</v>
      </c>
    </row>
    <row r="299" spans="1:3" x14ac:dyDescent="0.25">
      <c r="A299">
        <v>38</v>
      </c>
      <c r="B299" t="s">
        <v>18</v>
      </c>
      <c r="C299" t="s">
        <v>329</v>
      </c>
    </row>
    <row r="300" spans="1:3" x14ac:dyDescent="0.25">
      <c r="A300">
        <v>38</v>
      </c>
      <c r="B300" t="s">
        <v>19</v>
      </c>
      <c r="C300" t="s">
        <v>329</v>
      </c>
    </row>
    <row r="301" spans="1:3" x14ac:dyDescent="0.25">
      <c r="A301">
        <v>38</v>
      </c>
      <c r="B301" t="s">
        <v>20</v>
      </c>
      <c r="C301" t="s">
        <v>329</v>
      </c>
    </row>
    <row r="302" spans="1:3" x14ac:dyDescent="0.25">
      <c r="A302">
        <v>38</v>
      </c>
      <c r="B302" t="s">
        <v>21</v>
      </c>
      <c r="C302" t="s">
        <v>329</v>
      </c>
    </row>
    <row r="303" spans="1:3" x14ac:dyDescent="0.25">
      <c r="A303">
        <v>38</v>
      </c>
      <c r="B303" t="s">
        <v>22</v>
      </c>
      <c r="C303" t="s">
        <v>329</v>
      </c>
    </row>
    <row r="304" spans="1:3" x14ac:dyDescent="0.25">
      <c r="A304">
        <v>38</v>
      </c>
      <c r="B304" t="s">
        <v>23</v>
      </c>
      <c r="C304" t="s">
        <v>329</v>
      </c>
    </row>
    <row r="305" spans="1:3" x14ac:dyDescent="0.25">
      <c r="A305">
        <v>39</v>
      </c>
      <c r="B305" t="s">
        <v>16</v>
      </c>
      <c r="C305" t="s">
        <v>369</v>
      </c>
    </row>
    <row r="306" spans="1:3" x14ac:dyDescent="0.25">
      <c r="A306">
        <v>39</v>
      </c>
      <c r="B306" t="s">
        <v>17</v>
      </c>
      <c r="C306" t="s">
        <v>369</v>
      </c>
    </row>
    <row r="307" spans="1:3" x14ac:dyDescent="0.25">
      <c r="A307">
        <v>39</v>
      </c>
      <c r="B307" t="s">
        <v>18</v>
      </c>
      <c r="C307" t="s">
        <v>329</v>
      </c>
    </row>
    <row r="308" spans="1:3" x14ac:dyDescent="0.25">
      <c r="A308">
        <v>39</v>
      </c>
      <c r="B308" t="s">
        <v>19</v>
      </c>
      <c r="C308" t="s">
        <v>369</v>
      </c>
    </row>
    <row r="309" spans="1:3" x14ac:dyDescent="0.25">
      <c r="A309">
        <v>39</v>
      </c>
      <c r="B309" t="s">
        <v>20</v>
      </c>
      <c r="C309" t="s">
        <v>369</v>
      </c>
    </row>
    <row r="310" spans="1:3" x14ac:dyDescent="0.25">
      <c r="A310">
        <v>39</v>
      </c>
      <c r="B310" t="s">
        <v>21</v>
      </c>
      <c r="C310" t="s">
        <v>329</v>
      </c>
    </row>
    <row r="311" spans="1:3" x14ac:dyDescent="0.25">
      <c r="A311">
        <v>39</v>
      </c>
      <c r="B311" t="s">
        <v>22</v>
      </c>
      <c r="C311" t="s">
        <v>369</v>
      </c>
    </row>
    <row r="312" spans="1:3" x14ac:dyDescent="0.25">
      <c r="A312">
        <v>39</v>
      </c>
      <c r="B312" t="s">
        <v>23</v>
      </c>
      <c r="C312" t="s">
        <v>369</v>
      </c>
    </row>
    <row r="313" spans="1:3" x14ac:dyDescent="0.25">
      <c r="A313">
        <v>40</v>
      </c>
      <c r="B313" t="s">
        <v>16</v>
      </c>
      <c r="C313" t="s">
        <v>369</v>
      </c>
    </row>
    <row r="314" spans="1:3" x14ac:dyDescent="0.25">
      <c r="A314">
        <v>40</v>
      </c>
      <c r="B314" t="s">
        <v>17</v>
      </c>
      <c r="C314" t="s">
        <v>369</v>
      </c>
    </row>
    <row r="315" spans="1:3" x14ac:dyDescent="0.25">
      <c r="A315">
        <v>40</v>
      </c>
      <c r="B315" t="s">
        <v>18</v>
      </c>
      <c r="C315" t="s">
        <v>329</v>
      </c>
    </row>
    <row r="316" spans="1:3" x14ac:dyDescent="0.25">
      <c r="A316">
        <v>40</v>
      </c>
      <c r="B316" t="s">
        <v>19</v>
      </c>
      <c r="C316" t="s">
        <v>369</v>
      </c>
    </row>
    <row r="317" spans="1:3" x14ac:dyDescent="0.25">
      <c r="A317">
        <v>40</v>
      </c>
      <c r="B317" t="s">
        <v>20</v>
      </c>
      <c r="C317" t="s">
        <v>32</v>
      </c>
    </row>
    <row r="318" spans="1:3" x14ac:dyDescent="0.25">
      <c r="A318">
        <v>40</v>
      </c>
      <c r="B318" t="s">
        <v>21</v>
      </c>
      <c r="C318" t="s">
        <v>369</v>
      </c>
    </row>
    <row r="319" spans="1:3" x14ac:dyDescent="0.25">
      <c r="A319">
        <v>40</v>
      </c>
      <c r="B319" t="s">
        <v>22</v>
      </c>
      <c r="C319" t="s">
        <v>369</v>
      </c>
    </row>
    <row r="320" spans="1:3" x14ac:dyDescent="0.25">
      <c r="A320">
        <v>40</v>
      </c>
      <c r="B320" t="s">
        <v>23</v>
      </c>
      <c r="C320" t="s">
        <v>369</v>
      </c>
    </row>
    <row r="321" spans="1:3" x14ac:dyDescent="0.25">
      <c r="A321">
        <v>41</v>
      </c>
      <c r="B321" t="s">
        <v>16</v>
      </c>
      <c r="C321" t="s">
        <v>32</v>
      </c>
    </row>
    <row r="322" spans="1:3" x14ac:dyDescent="0.25">
      <c r="A322">
        <v>41</v>
      </c>
      <c r="B322" t="s">
        <v>17</v>
      </c>
      <c r="C322" t="s">
        <v>32</v>
      </c>
    </row>
    <row r="323" spans="1:3" x14ac:dyDescent="0.25">
      <c r="A323">
        <v>41</v>
      </c>
      <c r="B323" t="s">
        <v>18</v>
      </c>
      <c r="C323" t="s">
        <v>329</v>
      </c>
    </row>
    <row r="324" spans="1:3" x14ac:dyDescent="0.25">
      <c r="A324">
        <v>41</v>
      </c>
      <c r="B324" t="s">
        <v>19</v>
      </c>
      <c r="C324" t="s">
        <v>32</v>
      </c>
    </row>
    <row r="325" spans="1:3" x14ac:dyDescent="0.25">
      <c r="A325">
        <v>41</v>
      </c>
      <c r="B325" t="s">
        <v>20</v>
      </c>
      <c r="C325" t="s">
        <v>329</v>
      </c>
    </row>
    <row r="326" spans="1:3" x14ac:dyDescent="0.25">
      <c r="A326">
        <v>41</v>
      </c>
      <c r="B326" t="s">
        <v>21</v>
      </c>
      <c r="C326" t="s">
        <v>32</v>
      </c>
    </row>
    <row r="327" spans="1:3" x14ac:dyDescent="0.25">
      <c r="A327">
        <v>41</v>
      </c>
      <c r="B327" t="s">
        <v>22</v>
      </c>
      <c r="C327" t="s">
        <v>32</v>
      </c>
    </row>
    <row r="328" spans="1:3" x14ac:dyDescent="0.25">
      <c r="A328">
        <v>41</v>
      </c>
      <c r="B328" t="s">
        <v>23</v>
      </c>
      <c r="C328" t="s">
        <v>329</v>
      </c>
    </row>
    <row r="329" spans="1:3" x14ac:dyDescent="0.25">
      <c r="A329">
        <v>42</v>
      </c>
      <c r="B329" t="s">
        <v>16</v>
      </c>
      <c r="C329" t="s">
        <v>329</v>
      </c>
    </row>
    <row r="330" spans="1:3" x14ac:dyDescent="0.25">
      <c r="A330">
        <v>42</v>
      </c>
      <c r="B330" t="s">
        <v>17</v>
      </c>
      <c r="C330" t="s">
        <v>329</v>
      </c>
    </row>
    <row r="331" spans="1:3" x14ac:dyDescent="0.25">
      <c r="A331">
        <v>42</v>
      </c>
      <c r="B331" t="s">
        <v>18</v>
      </c>
      <c r="C331" t="s">
        <v>329</v>
      </c>
    </row>
    <row r="332" spans="1:3" x14ac:dyDescent="0.25">
      <c r="A332">
        <v>42</v>
      </c>
      <c r="B332" t="s">
        <v>19</v>
      </c>
      <c r="C332" t="s">
        <v>329</v>
      </c>
    </row>
    <row r="333" spans="1:3" x14ac:dyDescent="0.25">
      <c r="A333">
        <v>42</v>
      </c>
      <c r="B333" t="s">
        <v>20</v>
      </c>
      <c r="C333" t="s">
        <v>329</v>
      </c>
    </row>
    <row r="334" spans="1:3" x14ac:dyDescent="0.25">
      <c r="A334">
        <v>42</v>
      </c>
      <c r="B334" t="s">
        <v>21</v>
      </c>
      <c r="C334" t="s">
        <v>329</v>
      </c>
    </row>
    <row r="335" spans="1:3" x14ac:dyDescent="0.25">
      <c r="A335">
        <v>42</v>
      </c>
      <c r="B335" t="s">
        <v>22</v>
      </c>
      <c r="C335" t="s">
        <v>329</v>
      </c>
    </row>
    <row r="336" spans="1:3" x14ac:dyDescent="0.25">
      <c r="A336">
        <v>42</v>
      </c>
      <c r="B336" t="s">
        <v>23</v>
      </c>
      <c r="C336" t="s">
        <v>329</v>
      </c>
    </row>
    <row r="337" spans="1:3" x14ac:dyDescent="0.25">
      <c r="A337">
        <v>43</v>
      </c>
      <c r="B337" t="s">
        <v>16</v>
      </c>
      <c r="C337" t="s">
        <v>329</v>
      </c>
    </row>
    <row r="338" spans="1:3" x14ac:dyDescent="0.25">
      <c r="A338">
        <v>43</v>
      </c>
      <c r="B338" t="s">
        <v>17</v>
      </c>
      <c r="C338" t="s">
        <v>329</v>
      </c>
    </row>
    <row r="339" spans="1:3" x14ac:dyDescent="0.25">
      <c r="A339">
        <v>43</v>
      </c>
      <c r="B339" t="s">
        <v>18</v>
      </c>
      <c r="C339" t="s">
        <v>32</v>
      </c>
    </row>
    <row r="340" spans="1:3" x14ac:dyDescent="0.25">
      <c r="A340">
        <v>43</v>
      </c>
      <c r="B340" t="s">
        <v>19</v>
      </c>
      <c r="C340" t="s">
        <v>329</v>
      </c>
    </row>
    <row r="341" spans="1:3" x14ac:dyDescent="0.25">
      <c r="A341">
        <v>43</v>
      </c>
      <c r="B341" t="s">
        <v>20</v>
      </c>
      <c r="C341" t="s">
        <v>329</v>
      </c>
    </row>
    <row r="342" spans="1:3" x14ac:dyDescent="0.25">
      <c r="A342">
        <v>43</v>
      </c>
      <c r="B342" t="s">
        <v>21</v>
      </c>
      <c r="C342" t="s">
        <v>329</v>
      </c>
    </row>
    <row r="343" spans="1:3" x14ac:dyDescent="0.25">
      <c r="A343">
        <v>43</v>
      </c>
      <c r="B343" t="s">
        <v>22</v>
      </c>
      <c r="C343" t="s">
        <v>329</v>
      </c>
    </row>
    <row r="344" spans="1:3" x14ac:dyDescent="0.25">
      <c r="A344">
        <v>43</v>
      </c>
      <c r="B344" t="s">
        <v>23</v>
      </c>
      <c r="C344" t="s">
        <v>329</v>
      </c>
    </row>
    <row r="345" spans="1:3" x14ac:dyDescent="0.25">
      <c r="A345">
        <v>44</v>
      </c>
      <c r="B345" t="s">
        <v>16</v>
      </c>
      <c r="C345" t="s">
        <v>329</v>
      </c>
    </row>
    <row r="346" spans="1:3" x14ac:dyDescent="0.25">
      <c r="A346">
        <v>44</v>
      </c>
      <c r="B346" t="s">
        <v>17</v>
      </c>
      <c r="C346" t="s">
        <v>32</v>
      </c>
    </row>
    <row r="347" spans="1:3" x14ac:dyDescent="0.25">
      <c r="A347">
        <v>44</v>
      </c>
      <c r="B347" t="s">
        <v>18</v>
      </c>
      <c r="C347" t="s">
        <v>329</v>
      </c>
    </row>
    <row r="348" spans="1:3" x14ac:dyDescent="0.25">
      <c r="A348">
        <v>44</v>
      </c>
      <c r="B348" t="s">
        <v>19</v>
      </c>
      <c r="C348" t="s">
        <v>329</v>
      </c>
    </row>
    <row r="349" spans="1:3" x14ac:dyDescent="0.25">
      <c r="A349">
        <v>44</v>
      </c>
      <c r="B349" t="s">
        <v>20</v>
      </c>
      <c r="C349" t="s">
        <v>329</v>
      </c>
    </row>
    <row r="350" spans="1:3" x14ac:dyDescent="0.25">
      <c r="A350">
        <v>44</v>
      </c>
      <c r="B350" t="s">
        <v>21</v>
      </c>
      <c r="C350" t="s">
        <v>32</v>
      </c>
    </row>
    <row r="351" spans="1:3" x14ac:dyDescent="0.25">
      <c r="A351">
        <v>44</v>
      </c>
      <c r="B351" t="s">
        <v>22</v>
      </c>
      <c r="C351" t="s">
        <v>329</v>
      </c>
    </row>
    <row r="352" spans="1:3" x14ac:dyDescent="0.25">
      <c r="A352">
        <v>44</v>
      </c>
      <c r="B352" t="s">
        <v>23</v>
      </c>
      <c r="C352" t="s">
        <v>32</v>
      </c>
    </row>
    <row r="353" spans="1:3" x14ac:dyDescent="0.25">
      <c r="A353">
        <v>45</v>
      </c>
      <c r="B353" t="s">
        <v>16</v>
      </c>
      <c r="C353" t="s">
        <v>32</v>
      </c>
    </row>
    <row r="354" spans="1:3" x14ac:dyDescent="0.25">
      <c r="A354">
        <v>45</v>
      </c>
      <c r="B354" t="s">
        <v>17</v>
      </c>
      <c r="C354" t="s">
        <v>32</v>
      </c>
    </row>
    <row r="355" spans="1:3" x14ac:dyDescent="0.25">
      <c r="A355">
        <v>45</v>
      </c>
      <c r="B355" t="s">
        <v>18</v>
      </c>
      <c r="C355" t="s">
        <v>32</v>
      </c>
    </row>
    <row r="356" spans="1:3" x14ac:dyDescent="0.25">
      <c r="A356">
        <v>45</v>
      </c>
      <c r="B356" t="s">
        <v>19</v>
      </c>
      <c r="C356" t="s">
        <v>32</v>
      </c>
    </row>
    <row r="357" spans="1:3" x14ac:dyDescent="0.25">
      <c r="A357">
        <v>45</v>
      </c>
      <c r="B357" t="s">
        <v>20</v>
      </c>
      <c r="C357" t="s">
        <v>32</v>
      </c>
    </row>
    <row r="358" spans="1:3" x14ac:dyDescent="0.25">
      <c r="A358">
        <v>45</v>
      </c>
      <c r="B358" t="s">
        <v>21</v>
      </c>
      <c r="C358" t="s">
        <v>32</v>
      </c>
    </row>
    <row r="359" spans="1:3" x14ac:dyDescent="0.25">
      <c r="A359">
        <v>45</v>
      </c>
      <c r="B359" t="s">
        <v>22</v>
      </c>
      <c r="C359" t="s">
        <v>32</v>
      </c>
    </row>
    <row r="360" spans="1:3" x14ac:dyDescent="0.25">
      <c r="A360">
        <v>46</v>
      </c>
      <c r="B360" t="s">
        <v>16</v>
      </c>
      <c r="C360" t="s">
        <v>329</v>
      </c>
    </row>
    <row r="361" spans="1:3" x14ac:dyDescent="0.25">
      <c r="A361">
        <v>46</v>
      </c>
      <c r="B361" t="s">
        <v>17</v>
      </c>
      <c r="C361" t="s">
        <v>32</v>
      </c>
    </row>
    <row r="362" spans="1:3" x14ac:dyDescent="0.25">
      <c r="A362">
        <v>46</v>
      </c>
      <c r="B362" t="s">
        <v>18</v>
      </c>
      <c r="C362" t="s">
        <v>32</v>
      </c>
    </row>
    <row r="363" spans="1:3" x14ac:dyDescent="0.25">
      <c r="A363">
        <v>46</v>
      </c>
      <c r="B363" t="s">
        <v>19</v>
      </c>
      <c r="C363" t="s">
        <v>32</v>
      </c>
    </row>
    <row r="364" spans="1:3" x14ac:dyDescent="0.25">
      <c r="A364">
        <v>46</v>
      </c>
      <c r="B364" t="s">
        <v>20</v>
      </c>
      <c r="C364" t="s">
        <v>32</v>
      </c>
    </row>
    <row r="365" spans="1:3" x14ac:dyDescent="0.25">
      <c r="A365">
        <v>46</v>
      </c>
      <c r="B365" t="s">
        <v>21</v>
      </c>
      <c r="C365" t="s">
        <v>329</v>
      </c>
    </row>
    <row r="366" spans="1:3" x14ac:dyDescent="0.25">
      <c r="A366">
        <v>46</v>
      </c>
      <c r="B366" t="s">
        <v>22</v>
      </c>
      <c r="C366" t="s">
        <v>32</v>
      </c>
    </row>
    <row r="367" spans="1:3" x14ac:dyDescent="0.25">
      <c r="A367">
        <v>46</v>
      </c>
      <c r="B367" t="s">
        <v>23</v>
      </c>
      <c r="C367" t="s">
        <v>32</v>
      </c>
    </row>
    <row r="368" spans="1:3" x14ac:dyDescent="0.25">
      <c r="A368">
        <v>47</v>
      </c>
      <c r="B368" t="s">
        <v>16</v>
      </c>
      <c r="C368" t="s">
        <v>32</v>
      </c>
    </row>
    <row r="369" spans="1:3" x14ac:dyDescent="0.25">
      <c r="A369">
        <v>47</v>
      </c>
      <c r="B369" t="s">
        <v>17</v>
      </c>
      <c r="C369" t="s">
        <v>32</v>
      </c>
    </row>
    <row r="370" spans="1:3" x14ac:dyDescent="0.25">
      <c r="A370">
        <v>47</v>
      </c>
      <c r="B370" t="s">
        <v>18</v>
      </c>
      <c r="C370" t="s">
        <v>32</v>
      </c>
    </row>
    <row r="371" spans="1:3" x14ac:dyDescent="0.25">
      <c r="A371">
        <v>47</v>
      </c>
      <c r="B371" t="s">
        <v>19</v>
      </c>
      <c r="C371" t="s">
        <v>32</v>
      </c>
    </row>
    <row r="372" spans="1:3" x14ac:dyDescent="0.25">
      <c r="A372">
        <v>47</v>
      </c>
      <c r="B372" t="s">
        <v>20</v>
      </c>
      <c r="C372" t="s">
        <v>32</v>
      </c>
    </row>
    <row r="373" spans="1:3" x14ac:dyDescent="0.25">
      <c r="A373">
        <v>47</v>
      </c>
      <c r="B373" t="s">
        <v>21</v>
      </c>
      <c r="C373" t="s">
        <v>32</v>
      </c>
    </row>
    <row r="374" spans="1:3" x14ac:dyDescent="0.25">
      <c r="A374">
        <v>47</v>
      </c>
      <c r="B374" t="s">
        <v>22</v>
      </c>
      <c r="C374" t="s">
        <v>369</v>
      </c>
    </row>
    <row r="375" spans="1:3" x14ac:dyDescent="0.25">
      <c r="A375">
        <v>47</v>
      </c>
      <c r="B375" t="s">
        <v>23</v>
      </c>
      <c r="C375" t="s">
        <v>717</v>
      </c>
    </row>
    <row r="376" spans="1:3" x14ac:dyDescent="0.25">
      <c r="A376">
        <v>48</v>
      </c>
      <c r="B376" t="s">
        <v>16</v>
      </c>
      <c r="C376" t="s">
        <v>32</v>
      </c>
    </row>
    <row r="377" spans="1:3" x14ac:dyDescent="0.25">
      <c r="A377">
        <v>48</v>
      </c>
      <c r="B377" t="s">
        <v>17</v>
      </c>
      <c r="C377" t="s">
        <v>32</v>
      </c>
    </row>
    <row r="378" spans="1:3" x14ac:dyDescent="0.25">
      <c r="A378">
        <v>48</v>
      </c>
      <c r="B378" t="s">
        <v>18</v>
      </c>
      <c r="C378" t="s">
        <v>32</v>
      </c>
    </row>
    <row r="379" spans="1:3" x14ac:dyDescent="0.25">
      <c r="A379">
        <v>48</v>
      </c>
      <c r="B379" t="s">
        <v>19</v>
      </c>
      <c r="C379" t="s">
        <v>32</v>
      </c>
    </row>
    <row r="380" spans="1:3" x14ac:dyDescent="0.25">
      <c r="A380">
        <v>48</v>
      </c>
      <c r="B380" t="s">
        <v>20</v>
      </c>
      <c r="C380" t="s">
        <v>32</v>
      </c>
    </row>
    <row r="381" spans="1:3" x14ac:dyDescent="0.25">
      <c r="A381">
        <v>48</v>
      </c>
      <c r="B381" t="s">
        <v>21</v>
      </c>
      <c r="C381" t="s">
        <v>32</v>
      </c>
    </row>
    <row r="382" spans="1:3" x14ac:dyDescent="0.25">
      <c r="A382">
        <v>48</v>
      </c>
      <c r="B382" t="s">
        <v>22</v>
      </c>
      <c r="C382" t="s">
        <v>32</v>
      </c>
    </row>
    <row r="383" spans="1:3" x14ac:dyDescent="0.25">
      <c r="A383">
        <v>48</v>
      </c>
      <c r="B383" t="s">
        <v>23</v>
      </c>
      <c r="C383" t="s">
        <v>32</v>
      </c>
    </row>
    <row r="384" spans="1:3" x14ac:dyDescent="0.25">
      <c r="A384">
        <v>49</v>
      </c>
      <c r="B384" t="s">
        <v>16</v>
      </c>
      <c r="C384" t="s">
        <v>32</v>
      </c>
    </row>
    <row r="385" spans="1:3" x14ac:dyDescent="0.25">
      <c r="A385">
        <v>49</v>
      </c>
      <c r="B385" t="s">
        <v>17</v>
      </c>
      <c r="C385" t="s">
        <v>329</v>
      </c>
    </row>
    <row r="386" spans="1:3" x14ac:dyDescent="0.25">
      <c r="A386">
        <v>49</v>
      </c>
      <c r="B386" t="s">
        <v>18</v>
      </c>
      <c r="C386" t="s">
        <v>32</v>
      </c>
    </row>
    <row r="387" spans="1:3" x14ac:dyDescent="0.25">
      <c r="A387">
        <v>49</v>
      </c>
      <c r="B387" t="s">
        <v>19</v>
      </c>
      <c r="C387" t="s">
        <v>32</v>
      </c>
    </row>
    <row r="388" spans="1:3" x14ac:dyDescent="0.25">
      <c r="A388">
        <v>49</v>
      </c>
      <c r="B388" t="s">
        <v>20</v>
      </c>
      <c r="C388" t="s">
        <v>32</v>
      </c>
    </row>
    <row r="389" spans="1:3" x14ac:dyDescent="0.25">
      <c r="A389">
        <v>49</v>
      </c>
      <c r="B389" t="s">
        <v>21</v>
      </c>
      <c r="C389" t="s">
        <v>32</v>
      </c>
    </row>
    <row r="390" spans="1:3" x14ac:dyDescent="0.25">
      <c r="A390">
        <v>49</v>
      </c>
      <c r="B390" t="s">
        <v>22</v>
      </c>
      <c r="C390" t="s">
        <v>32</v>
      </c>
    </row>
    <row r="391" spans="1:3" x14ac:dyDescent="0.25">
      <c r="A391">
        <v>49</v>
      </c>
      <c r="B391" t="s">
        <v>23</v>
      </c>
      <c r="C391" t="s">
        <v>32</v>
      </c>
    </row>
    <row r="392" spans="1:3" x14ac:dyDescent="0.25">
      <c r="A392">
        <v>50</v>
      </c>
      <c r="B392" t="s">
        <v>16</v>
      </c>
      <c r="C392" t="s">
        <v>329</v>
      </c>
    </row>
    <row r="393" spans="1:3" x14ac:dyDescent="0.25">
      <c r="A393">
        <v>50</v>
      </c>
      <c r="B393" t="s">
        <v>17</v>
      </c>
      <c r="C393" t="s">
        <v>32</v>
      </c>
    </row>
    <row r="394" spans="1:3" x14ac:dyDescent="0.25">
      <c r="A394">
        <v>50</v>
      </c>
      <c r="B394" t="s">
        <v>18</v>
      </c>
      <c r="C394" t="s">
        <v>32</v>
      </c>
    </row>
    <row r="395" spans="1:3" x14ac:dyDescent="0.25">
      <c r="A395">
        <v>50</v>
      </c>
      <c r="B395" t="s">
        <v>19</v>
      </c>
      <c r="C395" t="s">
        <v>32</v>
      </c>
    </row>
    <row r="396" spans="1:3" x14ac:dyDescent="0.25">
      <c r="A396">
        <v>50</v>
      </c>
      <c r="B396" t="s">
        <v>20</v>
      </c>
      <c r="C396" t="s">
        <v>32</v>
      </c>
    </row>
    <row r="397" spans="1:3" x14ac:dyDescent="0.25">
      <c r="A397">
        <v>50</v>
      </c>
      <c r="B397" t="s">
        <v>21</v>
      </c>
      <c r="C397" t="s">
        <v>329</v>
      </c>
    </row>
    <row r="398" spans="1:3" x14ac:dyDescent="0.25">
      <c r="A398">
        <v>50</v>
      </c>
      <c r="B398" t="s">
        <v>22</v>
      </c>
      <c r="C398" t="s">
        <v>32</v>
      </c>
    </row>
    <row r="399" spans="1:3" x14ac:dyDescent="0.25">
      <c r="A399">
        <v>50</v>
      </c>
      <c r="B399" t="s">
        <v>23</v>
      </c>
      <c r="C399" t="s">
        <v>32</v>
      </c>
    </row>
    <row r="400" spans="1:3" x14ac:dyDescent="0.25">
      <c r="A400">
        <v>51</v>
      </c>
      <c r="B400" t="s">
        <v>16</v>
      </c>
      <c r="C400" t="s">
        <v>32</v>
      </c>
    </row>
    <row r="401" spans="1:3" x14ac:dyDescent="0.25">
      <c r="A401">
        <v>51</v>
      </c>
      <c r="B401" t="s">
        <v>17</v>
      </c>
      <c r="C401" t="s">
        <v>717</v>
      </c>
    </row>
    <row r="402" spans="1:3" x14ac:dyDescent="0.25">
      <c r="A402">
        <v>51</v>
      </c>
      <c r="B402" t="s">
        <v>18</v>
      </c>
      <c r="C402" t="s">
        <v>32</v>
      </c>
    </row>
    <row r="403" spans="1:3" x14ac:dyDescent="0.25">
      <c r="A403">
        <v>51</v>
      </c>
      <c r="B403" t="s">
        <v>19</v>
      </c>
      <c r="C403" t="s">
        <v>32</v>
      </c>
    </row>
    <row r="404" spans="1:3" x14ac:dyDescent="0.25">
      <c r="A404">
        <v>51</v>
      </c>
      <c r="B404" t="s">
        <v>20</v>
      </c>
      <c r="C404" t="s">
        <v>717</v>
      </c>
    </row>
    <row r="405" spans="1:3" x14ac:dyDescent="0.25">
      <c r="A405">
        <v>51</v>
      </c>
      <c r="B405" t="s">
        <v>21</v>
      </c>
      <c r="C405" t="s">
        <v>717</v>
      </c>
    </row>
    <row r="406" spans="1:3" x14ac:dyDescent="0.25">
      <c r="A406">
        <v>51</v>
      </c>
      <c r="B406" t="s">
        <v>22</v>
      </c>
      <c r="C406" t="s">
        <v>717</v>
      </c>
    </row>
    <row r="407" spans="1:3" x14ac:dyDescent="0.25">
      <c r="A407">
        <v>51</v>
      </c>
      <c r="B407" t="s">
        <v>23</v>
      </c>
      <c r="C407" t="s">
        <v>369</v>
      </c>
    </row>
    <row r="408" spans="1:3" x14ac:dyDescent="0.25">
      <c r="A408">
        <v>52</v>
      </c>
      <c r="B408" t="s">
        <v>16</v>
      </c>
      <c r="C408" t="s">
        <v>717</v>
      </c>
    </row>
    <row r="409" spans="1:3" x14ac:dyDescent="0.25">
      <c r="A409">
        <v>52</v>
      </c>
      <c r="B409" t="s">
        <v>17</v>
      </c>
      <c r="C409" t="s">
        <v>717</v>
      </c>
    </row>
    <row r="410" spans="1:3" x14ac:dyDescent="0.25">
      <c r="A410">
        <v>52</v>
      </c>
      <c r="B410" t="s">
        <v>18</v>
      </c>
      <c r="C410" t="s">
        <v>32</v>
      </c>
    </row>
    <row r="411" spans="1:3" x14ac:dyDescent="0.25">
      <c r="A411">
        <v>52</v>
      </c>
      <c r="B411" t="s">
        <v>19</v>
      </c>
      <c r="C411" t="s">
        <v>717</v>
      </c>
    </row>
    <row r="412" spans="1:3" x14ac:dyDescent="0.25">
      <c r="A412">
        <v>52</v>
      </c>
      <c r="B412" t="s">
        <v>20</v>
      </c>
      <c r="C412" t="s">
        <v>717</v>
      </c>
    </row>
    <row r="413" spans="1:3" x14ac:dyDescent="0.25">
      <c r="A413">
        <v>52</v>
      </c>
      <c r="B413" t="s">
        <v>21</v>
      </c>
      <c r="C413" t="s">
        <v>32</v>
      </c>
    </row>
    <row r="414" spans="1:3" x14ac:dyDescent="0.25">
      <c r="A414">
        <v>52</v>
      </c>
      <c r="B414" t="s">
        <v>22</v>
      </c>
      <c r="C414" t="s">
        <v>717</v>
      </c>
    </row>
    <row r="415" spans="1:3" x14ac:dyDescent="0.25">
      <c r="A415">
        <v>52</v>
      </c>
      <c r="B415" t="s">
        <v>23</v>
      </c>
      <c r="C415" t="s">
        <v>717</v>
      </c>
    </row>
    <row r="416" spans="1:3" x14ac:dyDescent="0.25">
      <c r="A416">
        <v>53</v>
      </c>
      <c r="B416" t="s">
        <v>16</v>
      </c>
      <c r="C416" t="s">
        <v>369</v>
      </c>
    </row>
    <row r="417" spans="1:3" x14ac:dyDescent="0.25">
      <c r="A417">
        <v>53</v>
      </c>
      <c r="B417" t="s">
        <v>17</v>
      </c>
      <c r="C417" t="s">
        <v>329</v>
      </c>
    </row>
    <row r="418" spans="1:3" x14ac:dyDescent="0.25">
      <c r="A418">
        <v>53</v>
      </c>
      <c r="B418" t="s">
        <v>18</v>
      </c>
      <c r="C418" t="s">
        <v>329</v>
      </c>
    </row>
    <row r="419" spans="1:3" x14ac:dyDescent="0.25">
      <c r="A419">
        <v>53</v>
      </c>
      <c r="B419" t="s">
        <v>19</v>
      </c>
      <c r="C419" t="s">
        <v>329</v>
      </c>
    </row>
    <row r="420" spans="1:3" x14ac:dyDescent="0.25">
      <c r="A420">
        <v>53</v>
      </c>
      <c r="B420" t="s">
        <v>20</v>
      </c>
      <c r="C420" t="s">
        <v>369</v>
      </c>
    </row>
    <row r="421" spans="1:3" x14ac:dyDescent="0.25">
      <c r="A421">
        <v>53</v>
      </c>
      <c r="B421" t="s">
        <v>21</v>
      </c>
      <c r="C421" t="s">
        <v>329</v>
      </c>
    </row>
    <row r="422" spans="1:3" x14ac:dyDescent="0.25">
      <c r="A422">
        <v>53</v>
      </c>
      <c r="B422" t="s">
        <v>22</v>
      </c>
      <c r="C422" t="s">
        <v>369</v>
      </c>
    </row>
    <row r="423" spans="1:3" x14ac:dyDescent="0.25">
      <c r="A423">
        <v>53</v>
      </c>
      <c r="B423" t="s">
        <v>23</v>
      </c>
      <c r="C423" t="s">
        <v>369</v>
      </c>
    </row>
    <row r="424" spans="1:3" x14ac:dyDescent="0.25">
      <c r="A424">
        <v>54</v>
      </c>
      <c r="B424" t="s">
        <v>16</v>
      </c>
      <c r="C424" t="s">
        <v>32</v>
      </c>
    </row>
    <row r="425" spans="1:3" x14ac:dyDescent="0.25">
      <c r="A425">
        <v>54</v>
      </c>
      <c r="B425" t="s">
        <v>17</v>
      </c>
      <c r="C425" t="s">
        <v>32</v>
      </c>
    </row>
    <row r="426" spans="1:3" x14ac:dyDescent="0.25">
      <c r="A426">
        <v>54</v>
      </c>
      <c r="B426" t="s">
        <v>18</v>
      </c>
      <c r="C426" t="s">
        <v>32</v>
      </c>
    </row>
    <row r="427" spans="1:3" x14ac:dyDescent="0.25">
      <c r="A427">
        <v>54</v>
      </c>
      <c r="B427" t="s">
        <v>19</v>
      </c>
      <c r="C427" t="s">
        <v>32</v>
      </c>
    </row>
    <row r="428" spans="1:3" x14ac:dyDescent="0.25">
      <c r="A428">
        <v>54</v>
      </c>
      <c r="B428" t="s">
        <v>20</v>
      </c>
      <c r="C428" t="s">
        <v>32</v>
      </c>
    </row>
    <row r="429" spans="1:3" x14ac:dyDescent="0.25">
      <c r="A429">
        <v>54</v>
      </c>
      <c r="B429" t="s">
        <v>21</v>
      </c>
      <c r="C429" t="s">
        <v>32</v>
      </c>
    </row>
    <row r="430" spans="1:3" x14ac:dyDescent="0.25">
      <c r="A430">
        <v>54</v>
      </c>
      <c r="B430" t="s">
        <v>22</v>
      </c>
      <c r="C430" t="s">
        <v>32</v>
      </c>
    </row>
    <row r="431" spans="1:3" x14ac:dyDescent="0.25">
      <c r="A431">
        <v>54</v>
      </c>
      <c r="B431" t="s">
        <v>23</v>
      </c>
      <c r="C431" t="s">
        <v>32</v>
      </c>
    </row>
    <row r="432" spans="1:3" x14ac:dyDescent="0.25">
      <c r="A432">
        <v>55</v>
      </c>
      <c r="B432" t="s">
        <v>16</v>
      </c>
      <c r="C432" t="s">
        <v>329</v>
      </c>
    </row>
    <row r="433" spans="1:3" x14ac:dyDescent="0.25">
      <c r="A433">
        <v>55</v>
      </c>
      <c r="B433" t="s">
        <v>17</v>
      </c>
      <c r="C433" t="s">
        <v>329</v>
      </c>
    </row>
    <row r="434" spans="1:3" x14ac:dyDescent="0.25">
      <c r="A434">
        <v>55</v>
      </c>
      <c r="B434" t="s">
        <v>18</v>
      </c>
      <c r="C434" t="s">
        <v>329</v>
      </c>
    </row>
    <row r="435" spans="1:3" x14ac:dyDescent="0.25">
      <c r="A435">
        <v>55</v>
      </c>
      <c r="B435" t="s">
        <v>19</v>
      </c>
      <c r="C435" t="s">
        <v>329</v>
      </c>
    </row>
    <row r="436" spans="1:3" x14ac:dyDescent="0.25">
      <c r="A436">
        <v>55</v>
      </c>
      <c r="B436" t="s">
        <v>20</v>
      </c>
      <c r="C436" t="s">
        <v>32</v>
      </c>
    </row>
    <row r="437" spans="1:3" x14ac:dyDescent="0.25">
      <c r="A437">
        <v>55</v>
      </c>
      <c r="B437" t="s">
        <v>21</v>
      </c>
      <c r="C437" t="s">
        <v>329</v>
      </c>
    </row>
    <row r="438" spans="1:3" x14ac:dyDescent="0.25">
      <c r="A438">
        <v>55</v>
      </c>
      <c r="B438" t="s">
        <v>22</v>
      </c>
      <c r="C438" t="s">
        <v>32</v>
      </c>
    </row>
    <row r="439" spans="1:3" x14ac:dyDescent="0.25">
      <c r="A439">
        <v>55</v>
      </c>
      <c r="B439" t="s">
        <v>23</v>
      </c>
      <c r="C439" t="s">
        <v>32</v>
      </c>
    </row>
    <row r="440" spans="1:3" x14ac:dyDescent="0.25">
      <c r="A440">
        <v>56</v>
      </c>
      <c r="B440" t="s">
        <v>16</v>
      </c>
      <c r="C440" t="s">
        <v>32</v>
      </c>
    </row>
    <row r="441" spans="1:3" x14ac:dyDescent="0.25">
      <c r="A441">
        <v>56</v>
      </c>
      <c r="B441" t="s">
        <v>17</v>
      </c>
      <c r="C441" t="s">
        <v>32</v>
      </c>
    </row>
    <row r="442" spans="1:3" x14ac:dyDescent="0.25">
      <c r="A442">
        <v>56</v>
      </c>
      <c r="B442" t="s">
        <v>18</v>
      </c>
      <c r="C442" t="s">
        <v>329</v>
      </c>
    </row>
    <row r="443" spans="1:3" x14ac:dyDescent="0.25">
      <c r="A443">
        <v>56</v>
      </c>
      <c r="B443" t="s">
        <v>19</v>
      </c>
      <c r="C443" t="s">
        <v>329</v>
      </c>
    </row>
    <row r="444" spans="1:3" x14ac:dyDescent="0.25">
      <c r="A444">
        <v>56</v>
      </c>
      <c r="B444" t="s">
        <v>20</v>
      </c>
      <c r="C444" t="s">
        <v>329</v>
      </c>
    </row>
    <row r="445" spans="1:3" x14ac:dyDescent="0.25">
      <c r="A445">
        <v>56</v>
      </c>
      <c r="B445" t="s">
        <v>21</v>
      </c>
      <c r="C445" t="s">
        <v>329</v>
      </c>
    </row>
    <row r="446" spans="1:3" x14ac:dyDescent="0.25">
      <c r="A446">
        <v>56</v>
      </c>
      <c r="B446" t="s">
        <v>22</v>
      </c>
      <c r="C446" t="s">
        <v>329</v>
      </c>
    </row>
    <row r="447" spans="1:3" x14ac:dyDescent="0.25">
      <c r="A447">
        <v>56</v>
      </c>
      <c r="B447" t="s">
        <v>23</v>
      </c>
      <c r="C447" t="s">
        <v>329</v>
      </c>
    </row>
    <row r="448" spans="1:3" x14ac:dyDescent="0.25">
      <c r="A448">
        <v>57</v>
      </c>
      <c r="B448" t="s">
        <v>16</v>
      </c>
      <c r="C448" t="s">
        <v>717</v>
      </c>
    </row>
    <row r="449" spans="1:3" x14ac:dyDescent="0.25">
      <c r="A449">
        <v>57</v>
      </c>
      <c r="B449" t="s">
        <v>17</v>
      </c>
      <c r="C449" t="s">
        <v>717</v>
      </c>
    </row>
    <row r="450" spans="1:3" x14ac:dyDescent="0.25">
      <c r="A450">
        <v>57</v>
      </c>
      <c r="B450" t="s">
        <v>18</v>
      </c>
      <c r="C450" t="s">
        <v>329</v>
      </c>
    </row>
    <row r="451" spans="1:3" x14ac:dyDescent="0.25">
      <c r="A451">
        <v>57</v>
      </c>
      <c r="B451" t="s">
        <v>19</v>
      </c>
      <c r="C451" t="s">
        <v>717</v>
      </c>
    </row>
    <row r="452" spans="1:3" x14ac:dyDescent="0.25">
      <c r="A452">
        <v>57</v>
      </c>
      <c r="B452" t="s">
        <v>20</v>
      </c>
      <c r="C452" t="s">
        <v>717</v>
      </c>
    </row>
    <row r="453" spans="1:3" x14ac:dyDescent="0.25">
      <c r="A453">
        <v>57</v>
      </c>
      <c r="B453" t="s">
        <v>21</v>
      </c>
      <c r="C453" t="s">
        <v>717</v>
      </c>
    </row>
    <row r="454" spans="1:3" x14ac:dyDescent="0.25">
      <c r="A454">
        <v>57</v>
      </c>
      <c r="B454" t="s">
        <v>22</v>
      </c>
      <c r="C454" t="s">
        <v>329</v>
      </c>
    </row>
    <row r="455" spans="1:3" x14ac:dyDescent="0.25">
      <c r="A455">
        <v>57</v>
      </c>
      <c r="B455" t="s">
        <v>23</v>
      </c>
      <c r="C455" t="s">
        <v>717</v>
      </c>
    </row>
    <row r="456" spans="1:3" x14ac:dyDescent="0.25">
      <c r="A456">
        <v>58</v>
      </c>
      <c r="B456" t="s">
        <v>16</v>
      </c>
      <c r="C456" t="s">
        <v>369</v>
      </c>
    </row>
    <row r="457" spans="1:3" x14ac:dyDescent="0.25">
      <c r="A457">
        <v>58</v>
      </c>
      <c r="B457" t="s">
        <v>17</v>
      </c>
      <c r="C457" t="s">
        <v>369</v>
      </c>
    </row>
    <row r="458" spans="1:3" x14ac:dyDescent="0.25">
      <c r="A458">
        <v>58</v>
      </c>
      <c r="B458" t="s">
        <v>18</v>
      </c>
      <c r="C458" t="s">
        <v>369</v>
      </c>
    </row>
    <row r="459" spans="1:3" x14ac:dyDescent="0.25">
      <c r="A459">
        <v>58</v>
      </c>
      <c r="B459" t="s">
        <v>19</v>
      </c>
      <c r="C459" t="s">
        <v>369</v>
      </c>
    </row>
    <row r="460" spans="1:3" x14ac:dyDescent="0.25">
      <c r="A460">
        <v>58</v>
      </c>
      <c r="B460" t="s">
        <v>20</v>
      </c>
      <c r="C460" t="s">
        <v>369</v>
      </c>
    </row>
    <row r="461" spans="1:3" x14ac:dyDescent="0.25">
      <c r="A461">
        <v>58</v>
      </c>
      <c r="B461" t="s">
        <v>21</v>
      </c>
      <c r="C461" t="s">
        <v>369</v>
      </c>
    </row>
    <row r="462" spans="1:3" x14ac:dyDescent="0.25">
      <c r="A462">
        <v>58</v>
      </c>
      <c r="B462" t="s">
        <v>22</v>
      </c>
      <c r="C462" t="s">
        <v>369</v>
      </c>
    </row>
    <row r="463" spans="1:3" x14ac:dyDescent="0.25">
      <c r="A463">
        <v>58</v>
      </c>
      <c r="B463" t="s">
        <v>23</v>
      </c>
      <c r="C463" t="s">
        <v>369</v>
      </c>
    </row>
    <row r="464" spans="1:3" x14ac:dyDescent="0.25">
      <c r="A464">
        <v>59</v>
      </c>
      <c r="B464" t="s">
        <v>16</v>
      </c>
      <c r="C464" t="s">
        <v>369</v>
      </c>
    </row>
    <row r="465" spans="1:3" x14ac:dyDescent="0.25">
      <c r="A465">
        <v>59</v>
      </c>
      <c r="B465" t="s">
        <v>17</v>
      </c>
      <c r="C465" t="s">
        <v>32</v>
      </c>
    </row>
    <row r="466" spans="1:3" x14ac:dyDescent="0.25">
      <c r="A466">
        <v>59</v>
      </c>
      <c r="B466" t="s">
        <v>18</v>
      </c>
      <c r="C466" t="s">
        <v>329</v>
      </c>
    </row>
    <row r="467" spans="1:3" x14ac:dyDescent="0.25">
      <c r="A467">
        <v>59</v>
      </c>
      <c r="B467" t="s">
        <v>19</v>
      </c>
      <c r="C467" t="s">
        <v>369</v>
      </c>
    </row>
    <row r="468" spans="1:3" x14ac:dyDescent="0.25">
      <c r="A468">
        <v>59</v>
      </c>
      <c r="B468" t="s">
        <v>20</v>
      </c>
      <c r="C468" t="s">
        <v>369</v>
      </c>
    </row>
    <row r="469" spans="1:3" x14ac:dyDescent="0.25">
      <c r="A469">
        <v>59</v>
      </c>
      <c r="B469" t="s">
        <v>21</v>
      </c>
      <c r="C469" t="s">
        <v>369</v>
      </c>
    </row>
    <row r="470" spans="1:3" x14ac:dyDescent="0.25">
      <c r="A470">
        <v>59</v>
      </c>
      <c r="B470" t="s">
        <v>22</v>
      </c>
      <c r="C470" t="s">
        <v>329</v>
      </c>
    </row>
    <row r="471" spans="1:3" x14ac:dyDescent="0.25">
      <c r="A471">
        <v>59</v>
      </c>
      <c r="B471" t="s">
        <v>23</v>
      </c>
      <c r="C471" t="s">
        <v>369</v>
      </c>
    </row>
    <row r="472" spans="1:3" x14ac:dyDescent="0.25">
      <c r="A472">
        <v>60</v>
      </c>
      <c r="B472" t="s">
        <v>16</v>
      </c>
      <c r="C472" t="s">
        <v>32</v>
      </c>
    </row>
    <row r="473" spans="1:3" x14ac:dyDescent="0.25">
      <c r="A473">
        <v>60</v>
      </c>
      <c r="B473" t="s">
        <v>17</v>
      </c>
      <c r="C473" t="s">
        <v>32</v>
      </c>
    </row>
    <row r="474" spans="1:3" x14ac:dyDescent="0.25">
      <c r="A474">
        <v>60</v>
      </c>
      <c r="B474" t="s">
        <v>18</v>
      </c>
      <c r="C474" t="s">
        <v>32</v>
      </c>
    </row>
    <row r="475" spans="1:3" x14ac:dyDescent="0.25">
      <c r="A475">
        <v>60</v>
      </c>
      <c r="B475" t="s">
        <v>19</v>
      </c>
      <c r="C475" t="s">
        <v>32</v>
      </c>
    </row>
    <row r="476" spans="1:3" x14ac:dyDescent="0.25">
      <c r="A476">
        <v>60</v>
      </c>
      <c r="B476" t="s">
        <v>20</v>
      </c>
      <c r="C476" t="s">
        <v>717</v>
      </c>
    </row>
    <row r="477" spans="1:3" x14ac:dyDescent="0.25">
      <c r="A477">
        <v>60</v>
      </c>
      <c r="B477" t="s">
        <v>21</v>
      </c>
      <c r="C477" t="s">
        <v>32</v>
      </c>
    </row>
    <row r="478" spans="1:3" x14ac:dyDescent="0.25">
      <c r="A478">
        <v>60</v>
      </c>
      <c r="B478" t="s">
        <v>22</v>
      </c>
      <c r="C478" t="s">
        <v>32</v>
      </c>
    </row>
    <row r="479" spans="1:3" x14ac:dyDescent="0.25">
      <c r="A479">
        <v>60</v>
      </c>
      <c r="B479" t="s">
        <v>23</v>
      </c>
      <c r="C479" t="s">
        <v>32</v>
      </c>
    </row>
    <row r="480" spans="1:3" x14ac:dyDescent="0.25">
      <c r="A480">
        <v>61</v>
      </c>
      <c r="B480" t="s">
        <v>16</v>
      </c>
      <c r="C480" t="s">
        <v>32</v>
      </c>
    </row>
    <row r="481" spans="1:3" x14ac:dyDescent="0.25">
      <c r="A481">
        <v>61</v>
      </c>
      <c r="B481" t="s">
        <v>17</v>
      </c>
      <c r="C481" t="s">
        <v>329</v>
      </c>
    </row>
    <row r="482" spans="1:3" x14ac:dyDescent="0.25">
      <c r="A482">
        <v>61</v>
      </c>
      <c r="B482" t="s">
        <v>18</v>
      </c>
      <c r="C482" t="s">
        <v>329</v>
      </c>
    </row>
    <row r="483" spans="1:3" x14ac:dyDescent="0.25">
      <c r="A483">
        <v>61</v>
      </c>
      <c r="B483" t="s">
        <v>19</v>
      </c>
      <c r="C483" t="s">
        <v>717</v>
      </c>
    </row>
    <row r="484" spans="1:3" x14ac:dyDescent="0.25">
      <c r="A484">
        <v>61</v>
      </c>
      <c r="B484" t="s">
        <v>20</v>
      </c>
      <c r="C484" t="s">
        <v>329</v>
      </c>
    </row>
    <row r="485" spans="1:3" x14ac:dyDescent="0.25">
      <c r="A485">
        <v>61</v>
      </c>
      <c r="B485" t="s">
        <v>21</v>
      </c>
      <c r="C485" t="s">
        <v>32</v>
      </c>
    </row>
    <row r="486" spans="1:3" x14ac:dyDescent="0.25">
      <c r="A486">
        <v>61</v>
      </c>
      <c r="B486" t="s">
        <v>22</v>
      </c>
      <c r="C486" t="s">
        <v>369</v>
      </c>
    </row>
    <row r="487" spans="1:3" x14ac:dyDescent="0.25">
      <c r="A487">
        <v>61</v>
      </c>
      <c r="B487" t="s">
        <v>23</v>
      </c>
      <c r="C487" t="s">
        <v>369</v>
      </c>
    </row>
    <row r="488" spans="1:3" x14ac:dyDescent="0.25">
      <c r="A488">
        <v>62</v>
      </c>
      <c r="B488" t="s">
        <v>16</v>
      </c>
      <c r="C488" t="s">
        <v>369</v>
      </c>
    </row>
    <row r="489" spans="1:3" x14ac:dyDescent="0.25">
      <c r="A489">
        <v>62</v>
      </c>
      <c r="B489" t="s">
        <v>17</v>
      </c>
      <c r="C489" t="s">
        <v>717</v>
      </c>
    </row>
    <row r="490" spans="1:3" x14ac:dyDescent="0.25">
      <c r="A490">
        <v>62</v>
      </c>
      <c r="B490" t="s">
        <v>18</v>
      </c>
      <c r="C490" t="s">
        <v>369</v>
      </c>
    </row>
    <row r="491" spans="1:3" x14ac:dyDescent="0.25">
      <c r="A491">
        <v>62</v>
      </c>
      <c r="B491" t="s">
        <v>19</v>
      </c>
      <c r="C491" t="s">
        <v>369</v>
      </c>
    </row>
    <row r="492" spans="1:3" x14ac:dyDescent="0.25">
      <c r="A492">
        <v>62</v>
      </c>
      <c r="B492" t="s">
        <v>20</v>
      </c>
      <c r="C492" t="s">
        <v>369</v>
      </c>
    </row>
    <row r="493" spans="1:3" x14ac:dyDescent="0.25">
      <c r="A493">
        <v>62</v>
      </c>
      <c r="B493" t="s">
        <v>21</v>
      </c>
      <c r="C493" t="s">
        <v>369</v>
      </c>
    </row>
    <row r="494" spans="1:3" x14ac:dyDescent="0.25">
      <c r="A494">
        <v>62</v>
      </c>
      <c r="B494" t="s">
        <v>22</v>
      </c>
      <c r="C494" t="s">
        <v>369</v>
      </c>
    </row>
    <row r="495" spans="1:3" x14ac:dyDescent="0.25">
      <c r="A495">
        <v>62</v>
      </c>
      <c r="B495" t="s">
        <v>23</v>
      </c>
      <c r="C495" t="s">
        <v>369</v>
      </c>
    </row>
    <row r="496" spans="1:3" x14ac:dyDescent="0.25">
      <c r="A496">
        <v>63</v>
      </c>
      <c r="B496" t="s">
        <v>16</v>
      </c>
      <c r="C496" t="s">
        <v>32</v>
      </c>
    </row>
    <row r="497" spans="1:3" x14ac:dyDescent="0.25">
      <c r="A497">
        <v>63</v>
      </c>
      <c r="B497" t="s">
        <v>17</v>
      </c>
      <c r="C497" t="s">
        <v>32</v>
      </c>
    </row>
    <row r="498" spans="1:3" x14ac:dyDescent="0.25">
      <c r="A498">
        <v>63</v>
      </c>
      <c r="B498" t="s">
        <v>18</v>
      </c>
      <c r="C498" t="s">
        <v>32</v>
      </c>
    </row>
    <row r="499" spans="1:3" x14ac:dyDescent="0.25">
      <c r="A499">
        <v>63</v>
      </c>
      <c r="B499" t="s">
        <v>19</v>
      </c>
      <c r="C499" t="s">
        <v>32</v>
      </c>
    </row>
    <row r="500" spans="1:3" x14ac:dyDescent="0.25">
      <c r="A500">
        <v>63</v>
      </c>
      <c r="B500" t="s">
        <v>20</v>
      </c>
      <c r="C500" t="s">
        <v>32</v>
      </c>
    </row>
    <row r="501" spans="1:3" x14ac:dyDescent="0.25">
      <c r="A501">
        <v>63</v>
      </c>
      <c r="B501" t="s">
        <v>21</v>
      </c>
      <c r="C501" t="s">
        <v>32</v>
      </c>
    </row>
    <row r="502" spans="1:3" x14ac:dyDescent="0.25">
      <c r="A502">
        <v>63</v>
      </c>
      <c r="B502" t="s">
        <v>22</v>
      </c>
      <c r="C502" t="s">
        <v>32</v>
      </c>
    </row>
    <row r="503" spans="1:3" x14ac:dyDescent="0.25">
      <c r="A503">
        <v>63</v>
      </c>
      <c r="B503" t="s">
        <v>23</v>
      </c>
      <c r="C503" t="s">
        <v>32</v>
      </c>
    </row>
    <row r="504" spans="1:3" x14ac:dyDescent="0.25">
      <c r="A504">
        <v>64</v>
      </c>
      <c r="B504" t="s">
        <v>16</v>
      </c>
      <c r="C504" t="s">
        <v>32</v>
      </c>
    </row>
    <row r="505" spans="1:3" x14ac:dyDescent="0.25">
      <c r="A505">
        <v>64</v>
      </c>
      <c r="B505" t="s">
        <v>17</v>
      </c>
      <c r="C505" t="s">
        <v>32</v>
      </c>
    </row>
    <row r="506" spans="1:3" x14ac:dyDescent="0.25">
      <c r="A506">
        <v>64</v>
      </c>
      <c r="B506" t="s">
        <v>18</v>
      </c>
      <c r="C506" t="s">
        <v>32</v>
      </c>
    </row>
    <row r="507" spans="1:3" x14ac:dyDescent="0.25">
      <c r="A507">
        <v>64</v>
      </c>
      <c r="B507" t="s">
        <v>19</v>
      </c>
      <c r="C507" t="s">
        <v>32</v>
      </c>
    </row>
    <row r="508" spans="1:3" x14ac:dyDescent="0.25">
      <c r="A508">
        <v>64</v>
      </c>
      <c r="B508" t="s">
        <v>20</v>
      </c>
      <c r="C508" t="s">
        <v>32</v>
      </c>
    </row>
    <row r="509" spans="1:3" x14ac:dyDescent="0.25">
      <c r="A509">
        <v>64</v>
      </c>
      <c r="B509" t="s">
        <v>21</v>
      </c>
      <c r="C509" t="s">
        <v>32</v>
      </c>
    </row>
    <row r="510" spans="1:3" x14ac:dyDescent="0.25">
      <c r="A510">
        <v>64</v>
      </c>
      <c r="B510" t="s">
        <v>22</v>
      </c>
      <c r="C510" t="s">
        <v>32</v>
      </c>
    </row>
    <row r="511" spans="1:3" x14ac:dyDescent="0.25">
      <c r="A511">
        <v>64</v>
      </c>
      <c r="B511" t="s">
        <v>23</v>
      </c>
      <c r="C511" t="s">
        <v>32</v>
      </c>
    </row>
    <row r="512" spans="1:3" x14ac:dyDescent="0.25">
      <c r="A512">
        <v>65</v>
      </c>
      <c r="B512" t="s">
        <v>16</v>
      </c>
      <c r="C512" t="s">
        <v>329</v>
      </c>
    </row>
    <row r="513" spans="1:3" x14ac:dyDescent="0.25">
      <c r="A513">
        <v>65</v>
      </c>
      <c r="B513" t="s">
        <v>17</v>
      </c>
      <c r="C513" t="s">
        <v>329</v>
      </c>
    </row>
    <row r="514" spans="1:3" x14ac:dyDescent="0.25">
      <c r="A514">
        <v>65</v>
      </c>
      <c r="B514" t="s">
        <v>18</v>
      </c>
      <c r="C514" t="s">
        <v>329</v>
      </c>
    </row>
    <row r="515" spans="1:3" x14ac:dyDescent="0.25">
      <c r="A515">
        <v>65</v>
      </c>
      <c r="B515" t="s">
        <v>19</v>
      </c>
      <c r="C515" t="s">
        <v>329</v>
      </c>
    </row>
    <row r="516" spans="1:3" x14ac:dyDescent="0.25">
      <c r="A516">
        <v>65</v>
      </c>
      <c r="B516" t="s">
        <v>20</v>
      </c>
      <c r="C516" t="s">
        <v>329</v>
      </c>
    </row>
    <row r="517" spans="1:3" x14ac:dyDescent="0.25">
      <c r="A517">
        <v>65</v>
      </c>
      <c r="B517" t="s">
        <v>21</v>
      </c>
      <c r="C517" t="s">
        <v>329</v>
      </c>
    </row>
    <row r="518" spans="1:3" x14ac:dyDescent="0.25">
      <c r="A518">
        <v>65</v>
      </c>
      <c r="B518" t="s">
        <v>22</v>
      </c>
      <c r="C518" t="s">
        <v>329</v>
      </c>
    </row>
    <row r="519" spans="1:3" x14ac:dyDescent="0.25">
      <c r="A519">
        <v>65</v>
      </c>
      <c r="B519" t="s">
        <v>23</v>
      </c>
      <c r="C519" t="s">
        <v>329</v>
      </c>
    </row>
    <row r="520" spans="1:3" x14ac:dyDescent="0.25">
      <c r="A520">
        <v>66</v>
      </c>
      <c r="B520" t="s">
        <v>16</v>
      </c>
      <c r="C520" t="s">
        <v>329</v>
      </c>
    </row>
    <row r="521" spans="1:3" x14ac:dyDescent="0.25">
      <c r="A521">
        <v>66</v>
      </c>
      <c r="B521" t="s">
        <v>17</v>
      </c>
      <c r="C521" t="s">
        <v>329</v>
      </c>
    </row>
    <row r="522" spans="1:3" x14ac:dyDescent="0.25">
      <c r="A522">
        <v>66</v>
      </c>
      <c r="B522" t="s">
        <v>18</v>
      </c>
      <c r="C522" t="s">
        <v>329</v>
      </c>
    </row>
    <row r="523" spans="1:3" x14ac:dyDescent="0.25">
      <c r="A523">
        <v>66</v>
      </c>
      <c r="B523" t="s">
        <v>19</v>
      </c>
      <c r="C523" t="s">
        <v>329</v>
      </c>
    </row>
    <row r="524" spans="1:3" x14ac:dyDescent="0.25">
      <c r="A524">
        <v>66</v>
      </c>
      <c r="B524" t="s">
        <v>20</v>
      </c>
      <c r="C524" t="s">
        <v>329</v>
      </c>
    </row>
    <row r="525" spans="1:3" x14ac:dyDescent="0.25">
      <c r="A525">
        <v>66</v>
      </c>
      <c r="B525" t="s">
        <v>21</v>
      </c>
      <c r="C525" t="s">
        <v>329</v>
      </c>
    </row>
    <row r="526" spans="1:3" x14ac:dyDescent="0.25">
      <c r="A526">
        <v>66</v>
      </c>
      <c r="B526" t="s">
        <v>22</v>
      </c>
      <c r="C526" t="s">
        <v>329</v>
      </c>
    </row>
    <row r="527" spans="1:3" x14ac:dyDescent="0.25">
      <c r="A527">
        <v>66</v>
      </c>
      <c r="B527" t="s">
        <v>23</v>
      </c>
      <c r="C527" t="s">
        <v>329</v>
      </c>
    </row>
    <row r="528" spans="1:3" x14ac:dyDescent="0.25">
      <c r="A528">
        <v>67</v>
      </c>
      <c r="B528" t="s">
        <v>16</v>
      </c>
      <c r="C528" t="s">
        <v>329</v>
      </c>
    </row>
    <row r="529" spans="1:3" x14ac:dyDescent="0.25">
      <c r="A529">
        <v>67</v>
      </c>
      <c r="B529" t="s">
        <v>17</v>
      </c>
      <c r="C529" t="s">
        <v>32</v>
      </c>
    </row>
    <row r="530" spans="1:3" x14ac:dyDescent="0.25">
      <c r="A530">
        <v>67</v>
      </c>
      <c r="B530" t="s">
        <v>18</v>
      </c>
      <c r="C530" t="s">
        <v>329</v>
      </c>
    </row>
    <row r="531" spans="1:3" x14ac:dyDescent="0.25">
      <c r="A531">
        <v>67</v>
      </c>
      <c r="B531" t="s">
        <v>19</v>
      </c>
      <c r="C531" t="s">
        <v>32</v>
      </c>
    </row>
    <row r="532" spans="1:3" x14ac:dyDescent="0.25">
      <c r="A532">
        <v>67</v>
      </c>
      <c r="B532" t="s">
        <v>20</v>
      </c>
      <c r="C532" t="s">
        <v>32</v>
      </c>
    </row>
    <row r="533" spans="1:3" x14ac:dyDescent="0.25">
      <c r="A533">
        <v>67</v>
      </c>
      <c r="B533" t="s">
        <v>21</v>
      </c>
      <c r="C533" t="s">
        <v>329</v>
      </c>
    </row>
    <row r="534" spans="1:3" x14ac:dyDescent="0.25">
      <c r="A534">
        <v>67</v>
      </c>
      <c r="B534" t="s">
        <v>22</v>
      </c>
      <c r="C534" t="s">
        <v>32</v>
      </c>
    </row>
    <row r="535" spans="1:3" x14ac:dyDescent="0.25">
      <c r="A535">
        <v>67</v>
      </c>
      <c r="B535" t="s">
        <v>23</v>
      </c>
      <c r="C535" t="s">
        <v>329</v>
      </c>
    </row>
    <row r="536" spans="1:3" x14ac:dyDescent="0.25">
      <c r="A536">
        <v>68</v>
      </c>
      <c r="B536" t="s">
        <v>16</v>
      </c>
      <c r="C536" t="s">
        <v>329</v>
      </c>
    </row>
    <row r="537" spans="1:3" x14ac:dyDescent="0.25">
      <c r="A537">
        <v>68</v>
      </c>
      <c r="B537" t="s">
        <v>17</v>
      </c>
      <c r="C537" t="s">
        <v>32</v>
      </c>
    </row>
    <row r="538" spans="1:3" x14ac:dyDescent="0.25">
      <c r="A538">
        <v>68</v>
      </c>
      <c r="B538" t="s">
        <v>18</v>
      </c>
      <c r="C538" t="s">
        <v>329</v>
      </c>
    </row>
    <row r="539" spans="1:3" x14ac:dyDescent="0.25">
      <c r="A539">
        <v>68</v>
      </c>
      <c r="B539" t="s">
        <v>19</v>
      </c>
      <c r="C539" t="s">
        <v>32</v>
      </c>
    </row>
    <row r="540" spans="1:3" x14ac:dyDescent="0.25">
      <c r="A540">
        <v>68</v>
      </c>
      <c r="B540" t="s">
        <v>20</v>
      </c>
      <c r="C540" t="s">
        <v>329</v>
      </c>
    </row>
    <row r="541" spans="1:3" x14ac:dyDescent="0.25">
      <c r="A541">
        <v>68</v>
      </c>
      <c r="B541" t="s">
        <v>21</v>
      </c>
      <c r="C541" t="s">
        <v>329</v>
      </c>
    </row>
    <row r="542" spans="1:3" x14ac:dyDescent="0.25">
      <c r="A542">
        <v>68</v>
      </c>
      <c r="B542" t="s">
        <v>22</v>
      </c>
      <c r="C542" t="s">
        <v>32</v>
      </c>
    </row>
    <row r="543" spans="1:3" x14ac:dyDescent="0.25">
      <c r="A543">
        <v>68</v>
      </c>
      <c r="B543" t="s">
        <v>23</v>
      </c>
      <c r="C543" t="s">
        <v>329</v>
      </c>
    </row>
    <row r="544" spans="1:3" x14ac:dyDescent="0.25">
      <c r="A544">
        <v>69</v>
      </c>
      <c r="B544" t="s">
        <v>16</v>
      </c>
      <c r="C544" t="s">
        <v>329</v>
      </c>
    </row>
    <row r="545" spans="1:3" x14ac:dyDescent="0.25">
      <c r="A545">
        <v>69</v>
      </c>
      <c r="B545" t="s">
        <v>17</v>
      </c>
      <c r="C545" t="s">
        <v>329</v>
      </c>
    </row>
    <row r="546" spans="1:3" x14ac:dyDescent="0.25">
      <c r="A546">
        <v>69</v>
      </c>
      <c r="B546" t="s">
        <v>18</v>
      </c>
      <c r="C546" t="s">
        <v>32</v>
      </c>
    </row>
    <row r="547" spans="1:3" x14ac:dyDescent="0.25">
      <c r="A547">
        <v>69</v>
      </c>
      <c r="B547" t="s">
        <v>19</v>
      </c>
      <c r="C547" t="s">
        <v>32</v>
      </c>
    </row>
    <row r="548" spans="1:3" x14ac:dyDescent="0.25">
      <c r="A548">
        <v>69</v>
      </c>
      <c r="B548" t="s">
        <v>20</v>
      </c>
      <c r="C548" t="s">
        <v>32</v>
      </c>
    </row>
    <row r="549" spans="1:3" x14ac:dyDescent="0.25">
      <c r="A549">
        <v>69</v>
      </c>
      <c r="B549" t="s">
        <v>21</v>
      </c>
      <c r="C549" t="s">
        <v>32</v>
      </c>
    </row>
    <row r="550" spans="1:3" x14ac:dyDescent="0.25">
      <c r="A550">
        <v>69</v>
      </c>
      <c r="B550" t="s">
        <v>22</v>
      </c>
      <c r="C550" t="s">
        <v>717</v>
      </c>
    </row>
    <row r="551" spans="1:3" x14ac:dyDescent="0.25">
      <c r="A551">
        <v>69</v>
      </c>
      <c r="B551" t="s">
        <v>23</v>
      </c>
      <c r="C551" t="s">
        <v>717</v>
      </c>
    </row>
    <row r="552" spans="1:3" x14ac:dyDescent="0.25">
      <c r="A552">
        <v>70</v>
      </c>
      <c r="B552" t="s">
        <v>16</v>
      </c>
      <c r="C552" t="s">
        <v>32</v>
      </c>
    </row>
    <row r="553" spans="1:3" x14ac:dyDescent="0.25">
      <c r="A553">
        <v>70</v>
      </c>
      <c r="B553" t="s">
        <v>17</v>
      </c>
      <c r="C553" t="s">
        <v>32</v>
      </c>
    </row>
    <row r="554" spans="1:3" x14ac:dyDescent="0.25">
      <c r="A554">
        <v>70</v>
      </c>
      <c r="B554" t="s">
        <v>18</v>
      </c>
      <c r="C554" t="s">
        <v>32</v>
      </c>
    </row>
    <row r="555" spans="1:3" x14ac:dyDescent="0.25">
      <c r="A555">
        <v>70</v>
      </c>
      <c r="B555" t="s">
        <v>19</v>
      </c>
      <c r="C555" t="s">
        <v>32</v>
      </c>
    </row>
    <row r="556" spans="1:3" x14ac:dyDescent="0.25">
      <c r="A556">
        <v>70</v>
      </c>
      <c r="B556" t="s">
        <v>20</v>
      </c>
      <c r="C556" t="s">
        <v>32</v>
      </c>
    </row>
    <row r="557" spans="1:3" x14ac:dyDescent="0.25">
      <c r="A557">
        <v>70</v>
      </c>
      <c r="B557" t="s">
        <v>21</v>
      </c>
      <c r="C557" t="s">
        <v>32</v>
      </c>
    </row>
    <row r="558" spans="1:3" x14ac:dyDescent="0.25">
      <c r="A558">
        <v>70</v>
      </c>
      <c r="B558" t="s">
        <v>22</v>
      </c>
      <c r="C558" t="s">
        <v>32</v>
      </c>
    </row>
    <row r="559" spans="1:3" x14ac:dyDescent="0.25">
      <c r="A559">
        <v>70</v>
      </c>
      <c r="B559" t="s">
        <v>23</v>
      </c>
      <c r="C559" t="s">
        <v>32</v>
      </c>
    </row>
    <row r="560" spans="1:3" x14ac:dyDescent="0.25">
      <c r="A560">
        <v>71</v>
      </c>
      <c r="B560" t="s">
        <v>16</v>
      </c>
      <c r="C560" t="s">
        <v>32</v>
      </c>
    </row>
    <row r="561" spans="1:3" x14ac:dyDescent="0.25">
      <c r="A561">
        <v>71</v>
      </c>
      <c r="B561" t="s">
        <v>17</v>
      </c>
      <c r="C561" t="s">
        <v>32</v>
      </c>
    </row>
    <row r="562" spans="1:3" x14ac:dyDescent="0.25">
      <c r="A562">
        <v>71</v>
      </c>
      <c r="B562" t="s">
        <v>18</v>
      </c>
      <c r="C562" t="s">
        <v>329</v>
      </c>
    </row>
    <row r="563" spans="1:3" x14ac:dyDescent="0.25">
      <c r="A563">
        <v>71</v>
      </c>
      <c r="B563" t="s">
        <v>19</v>
      </c>
      <c r="C563" t="s">
        <v>32</v>
      </c>
    </row>
    <row r="564" spans="1:3" x14ac:dyDescent="0.25">
      <c r="A564">
        <v>71</v>
      </c>
      <c r="B564" t="s">
        <v>20</v>
      </c>
      <c r="C564" t="s">
        <v>32</v>
      </c>
    </row>
    <row r="565" spans="1:3" x14ac:dyDescent="0.25">
      <c r="A565">
        <v>71</v>
      </c>
      <c r="B565" t="s">
        <v>21</v>
      </c>
      <c r="C565" t="s">
        <v>329</v>
      </c>
    </row>
    <row r="566" spans="1:3" x14ac:dyDescent="0.25">
      <c r="A566">
        <v>71</v>
      </c>
      <c r="B566" t="s">
        <v>22</v>
      </c>
      <c r="C566" t="s">
        <v>32</v>
      </c>
    </row>
    <row r="567" spans="1:3" x14ac:dyDescent="0.25">
      <c r="A567">
        <v>71</v>
      </c>
      <c r="B567" t="s">
        <v>23</v>
      </c>
      <c r="C567" t="s">
        <v>717</v>
      </c>
    </row>
    <row r="568" spans="1:3" x14ac:dyDescent="0.25">
      <c r="A568">
        <v>72</v>
      </c>
      <c r="B568" t="s">
        <v>16</v>
      </c>
      <c r="C568" t="s">
        <v>717</v>
      </c>
    </row>
    <row r="569" spans="1:3" x14ac:dyDescent="0.25">
      <c r="A569">
        <v>72</v>
      </c>
      <c r="B569" t="s">
        <v>17</v>
      </c>
      <c r="C569" t="s">
        <v>717</v>
      </c>
    </row>
    <row r="570" spans="1:3" x14ac:dyDescent="0.25">
      <c r="A570">
        <v>72</v>
      </c>
      <c r="B570" t="s">
        <v>18</v>
      </c>
      <c r="C570" t="s">
        <v>329</v>
      </c>
    </row>
    <row r="571" spans="1:3" x14ac:dyDescent="0.25">
      <c r="A571">
        <v>72</v>
      </c>
      <c r="B571" t="s">
        <v>19</v>
      </c>
      <c r="C571" t="s">
        <v>717</v>
      </c>
    </row>
    <row r="572" spans="1:3" x14ac:dyDescent="0.25">
      <c r="A572">
        <v>72</v>
      </c>
      <c r="B572" t="s">
        <v>20</v>
      </c>
      <c r="C572" t="s">
        <v>717</v>
      </c>
    </row>
    <row r="573" spans="1:3" x14ac:dyDescent="0.25">
      <c r="A573">
        <v>72</v>
      </c>
      <c r="B573" t="s">
        <v>21</v>
      </c>
      <c r="C573" t="s">
        <v>329</v>
      </c>
    </row>
    <row r="574" spans="1:3" x14ac:dyDescent="0.25">
      <c r="A574">
        <v>72</v>
      </c>
      <c r="B574" t="s">
        <v>22</v>
      </c>
      <c r="C574" t="s">
        <v>329</v>
      </c>
    </row>
    <row r="575" spans="1:3" x14ac:dyDescent="0.25">
      <c r="A575">
        <v>72</v>
      </c>
      <c r="B575" t="s">
        <v>23</v>
      </c>
      <c r="C575" t="s">
        <v>369</v>
      </c>
    </row>
    <row r="576" spans="1:3" x14ac:dyDescent="0.25">
      <c r="A576">
        <v>73</v>
      </c>
      <c r="B576" t="s">
        <v>16</v>
      </c>
      <c r="C576" t="s">
        <v>369</v>
      </c>
    </row>
    <row r="577" spans="1:3" x14ac:dyDescent="0.25">
      <c r="A577">
        <v>73</v>
      </c>
      <c r="B577" t="s">
        <v>17</v>
      </c>
      <c r="C577" t="s">
        <v>369</v>
      </c>
    </row>
    <row r="578" spans="1:3" x14ac:dyDescent="0.25">
      <c r="A578">
        <v>73</v>
      </c>
      <c r="B578" t="s">
        <v>18</v>
      </c>
      <c r="C578" t="s">
        <v>369</v>
      </c>
    </row>
    <row r="579" spans="1:3" x14ac:dyDescent="0.25">
      <c r="A579">
        <v>73</v>
      </c>
      <c r="B579" t="s">
        <v>19</v>
      </c>
      <c r="C579" t="s">
        <v>717</v>
      </c>
    </row>
    <row r="580" spans="1:3" x14ac:dyDescent="0.25">
      <c r="A580">
        <v>73</v>
      </c>
      <c r="B580" t="s">
        <v>20</v>
      </c>
      <c r="C580" t="s">
        <v>369</v>
      </c>
    </row>
    <row r="581" spans="1:3" x14ac:dyDescent="0.25">
      <c r="A581">
        <v>73</v>
      </c>
      <c r="B581" t="s">
        <v>21</v>
      </c>
      <c r="C581" t="s">
        <v>369</v>
      </c>
    </row>
    <row r="582" spans="1:3" x14ac:dyDescent="0.25">
      <c r="A582">
        <v>73</v>
      </c>
      <c r="B582" t="s">
        <v>22</v>
      </c>
      <c r="C582" t="s">
        <v>369</v>
      </c>
    </row>
    <row r="583" spans="1:3" x14ac:dyDescent="0.25">
      <c r="A583">
        <v>73</v>
      </c>
      <c r="B583" t="s">
        <v>23</v>
      </c>
      <c r="C583" t="s">
        <v>369</v>
      </c>
    </row>
    <row r="584" spans="1:3" x14ac:dyDescent="0.25">
      <c r="A584">
        <v>74</v>
      </c>
      <c r="B584" t="s">
        <v>16</v>
      </c>
      <c r="C584" t="s">
        <v>329</v>
      </c>
    </row>
    <row r="585" spans="1:3" x14ac:dyDescent="0.25">
      <c r="A585">
        <v>74</v>
      </c>
      <c r="B585" t="s">
        <v>17</v>
      </c>
      <c r="C585" t="s">
        <v>329</v>
      </c>
    </row>
    <row r="586" spans="1:3" x14ac:dyDescent="0.25">
      <c r="A586">
        <v>74</v>
      </c>
      <c r="B586" t="s">
        <v>18</v>
      </c>
      <c r="C586" t="s">
        <v>329</v>
      </c>
    </row>
    <row r="587" spans="1:3" x14ac:dyDescent="0.25">
      <c r="A587">
        <v>74</v>
      </c>
      <c r="B587" t="s">
        <v>19</v>
      </c>
      <c r="C587" t="s">
        <v>329</v>
      </c>
    </row>
    <row r="588" spans="1:3" x14ac:dyDescent="0.25">
      <c r="A588">
        <v>74</v>
      </c>
      <c r="B588" t="s">
        <v>20</v>
      </c>
      <c r="C588" t="s">
        <v>329</v>
      </c>
    </row>
    <row r="589" spans="1:3" x14ac:dyDescent="0.25">
      <c r="A589">
        <v>74</v>
      </c>
      <c r="B589" t="s">
        <v>21</v>
      </c>
      <c r="C589" t="s">
        <v>329</v>
      </c>
    </row>
    <row r="590" spans="1:3" x14ac:dyDescent="0.25">
      <c r="A590">
        <v>74</v>
      </c>
      <c r="B590" t="s">
        <v>22</v>
      </c>
      <c r="C590" t="s">
        <v>329</v>
      </c>
    </row>
    <row r="591" spans="1:3" x14ac:dyDescent="0.25">
      <c r="A591">
        <v>74</v>
      </c>
      <c r="B591" t="s">
        <v>23</v>
      </c>
      <c r="C591" t="s">
        <v>717</v>
      </c>
    </row>
    <row r="592" spans="1:3" x14ac:dyDescent="0.25">
      <c r="A592">
        <v>75</v>
      </c>
      <c r="B592" t="s">
        <v>16</v>
      </c>
      <c r="C592" t="s">
        <v>369</v>
      </c>
    </row>
    <row r="593" spans="1:3" x14ac:dyDescent="0.25">
      <c r="A593">
        <v>75</v>
      </c>
      <c r="B593" t="s">
        <v>17</v>
      </c>
      <c r="C593" t="s">
        <v>329</v>
      </c>
    </row>
    <row r="594" spans="1:3" x14ac:dyDescent="0.25">
      <c r="A594">
        <v>75</v>
      </c>
      <c r="B594" t="s">
        <v>18</v>
      </c>
      <c r="C594" t="s">
        <v>32</v>
      </c>
    </row>
    <row r="595" spans="1:3" x14ac:dyDescent="0.25">
      <c r="A595">
        <v>75</v>
      </c>
      <c r="B595" t="s">
        <v>19</v>
      </c>
      <c r="C595" t="s">
        <v>369</v>
      </c>
    </row>
    <row r="596" spans="1:3" x14ac:dyDescent="0.25">
      <c r="A596">
        <v>75</v>
      </c>
      <c r="B596" t="s">
        <v>20</v>
      </c>
      <c r="C596" t="s">
        <v>369</v>
      </c>
    </row>
    <row r="597" spans="1:3" x14ac:dyDescent="0.25">
      <c r="A597">
        <v>75</v>
      </c>
      <c r="B597" t="s">
        <v>21</v>
      </c>
      <c r="C597" t="s">
        <v>369</v>
      </c>
    </row>
    <row r="598" spans="1:3" x14ac:dyDescent="0.25">
      <c r="A598">
        <v>75</v>
      </c>
      <c r="B598" t="s">
        <v>22</v>
      </c>
      <c r="C598" t="s">
        <v>329</v>
      </c>
    </row>
    <row r="599" spans="1:3" x14ac:dyDescent="0.25">
      <c r="A599">
        <v>75</v>
      </c>
      <c r="B599" t="s">
        <v>23</v>
      </c>
      <c r="C599" t="s">
        <v>717</v>
      </c>
    </row>
    <row r="600" spans="1:3" x14ac:dyDescent="0.25">
      <c r="A600">
        <v>76</v>
      </c>
      <c r="B600" t="s">
        <v>16</v>
      </c>
      <c r="C600" t="s">
        <v>32</v>
      </c>
    </row>
    <row r="601" spans="1:3" x14ac:dyDescent="0.25">
      <c r="A601">
        <v>76</v>
      </c>
      <c r="B601" t="s">
        <v>17</v>
      </c>
      <c r="C601" t="s">
        <v>329</v>
      </c>
    </row>
    <row r="602" spans="1:3" x14ac:dyDescent="0.25">
      <c r="A602">
        <v>76</v>
      </c>
      <c r="B602" t="s">
        <v>18</v>
      </c>
      <c r="C602" t="s">
        <v>32</v>
      </c>
    </row>
    <row r="603" spans="1:3" x14ac:dyDescent="0.25">
      <c r="A603">
        <v>76</v>
      </c>
      <c r="B603" t="s">
        <v>19</v>
      </c>
      <c r="C603" t="s">
        <v>717</v>
      </c>
    </row>
    <row r="604" spans="1:3" x14ac:dyDescent="0.25">
      <c r="A604">
        <v>76</v>
      </c>
      <c r="B604" t="s">
        <v>20</v>
      </c>
      <c r="C604" t="s">
        <v>717</v>
      </c>
    </row>
    <row r="605" spans="1:3" x14ac:dyDescent="0.25">
      <c r="A605">
        <v>76</v>
      </c>
      <c r="B605" t="s">
        <v>21</v>
      </c>
      <c r="C605" t="s">
        <v>717</v>
      </c>
    </row>
    <row r="606" spans="1:3" x14ac:dyDescent="0.25">
      <c r="A606">
        <v>76</v>
      </c>
      <c r="B606" t="s">
        <v>22</v>
      </c>
      <c r="C606" t="s">
        <v>717</v>
      </c>
    </row>
    <row r="607" spans="1:3" x14ac:dyDescent="0.25">
      <c r="A607">
        <v>76</v>
      </c>
      <c r="B607" t="s">
        <v>23</v>
      </c>
      <c r="C607" t="s">
        <v>717</v>
      </c>
    </row>
    <row r="608" spans="1:3" x14ac:dyDescent="0.25">
      <c r="A608">
        <v>77</v>
      </c>
      <c r="B608" t="s">
        <v>16</v>
      </c>
      <c r="C608" t="s">
        <v>329</v>
      </c>
    </row>
    <row r="609" spans="1:3" x14ac:dyDescent="0.25">
      <c r="A609">
        <v>77</v>
      </c>
      <c r="B609" t="s">
        <v>17</v>
      </c>
      <c r="C609" t="s">
        <v>717</v>
      </c>
    </row>
    <row r="610" spans="1:3" x14ac:dyDescent="0.25">
      <c r="A610">
        <v>77</v>
      </c>
      <c r="B610" t="s">
        <v>18</v>
      </c>
      <c r="C610" t="s">
        <v>717</v>
      </c>
    </row>
    <row r="611" spans="1:3" x14ac:dyDescent="0.25">
      <c r="A611">
        <v>77</v>
      </c>
      <c r="B611" t="s">
        <v>19</v>
      </c>
      <c r="C611" t="s">
        <v>329</v>
      </c>
    </row>
    <row r="612" spans="1:3" x14ac:dyDescent="0.25">
      <c r="A612">
        <v>77</v>
      </c>
      <c r="B612" t="s">
        <v>20</v>
      </c>
      <c r="C612" t="s">
        <v>717</v>
      </c>
    </row>
    <row r="613" spans="1:3" x14ac:dyDescent="0.25">
      <c r="A613">
        <v>77</v>
      </c>
      <c r="B613" t="s">
        <v>21</v>
      </c>
      <c r="C613" t="s">
        <v>717</v>
      </c>
    </row>
    <row r="614" spans="1:3" x14ac:dyDescent="0.25">
      <c r="A614">
        <v>77</v>
      </c>
      <c r="B614" t="s">
        <v>22</v>
      </c>
      <c r="C614" t="s">
        <v>717</v>
      </c>
    </row>
    <row r="615" spans="1:3" x14ac:dyDescent="0.25">
      <c r="A615">
        <v>77</v>
      </c>
      <c r="B615" t="s">
        <v>23</v>
      </c>
      <c r="C615" t="s">
        <v>717</v>
      </c>
    </row>
    <row r="616" spans="1:3" x14ac:dyDescent="0.25">
      <c r="A616">
        <v>78</v>
      </c>
      <c r="B616" t="s">
        <v>16</v>
      </c>
      <c r="C616" t="s">
        <v>329</v>
      </c>
    </row>
    <row r="617" spans="1:3" x14ac:dyDescent="0.25">
      <c r="A617">
        <v>78</v>
      </c>
      <c r="B617" t="s">
        <v>17</v>
      </c>
      <c r="C617" t="s">
        <v>329</v>
      </c>
    </row>
    <row r="618" spans="1:3" x14ac:dyDescent="0.25">
      <c r="A618">
        <v>78</v>
      </c>
      <c r="B618" t="s">
        <v>18</v>
      </c>
      <c r="C618" t="s">
        <v>329</v>
      </c>
    </row>
    <row r="619" spans="1:3" x14ac:dyDescent="0.25">
      <c r="A619">
        <v>78</v>
      </c>
      <c r="B619" t="s">
        <v>19</v>
      </c>
      <c r="C619" t="s">
        <v>329</v>
      </c>
    </row>
    <row r="620" spans="1:3" x14ac:dyDescent="0.25">
      <c r="A620">
        <v>78</v>
      </c>
      <c r="B620" t="s">
        <v>20</v>
      </c>
      <c r="C620" t="s">
        <v>329</v>
      </c>
    </row>
    <row r="621" spans="1:3" x14ac:dyDescent="0.25">
      <c r="A621">
        <v>78</v>
      </c>
      <c r="B621" t="s">
        <v>21</v>
      </c>
      <c r="C621" t="s">
        <v>329</v>
      </c>
    </row>
    <row r="622" spans="1:3" x14ac:dyDescent="0.25">
      <c r="A622">
        <v>78</v>
      </c>
      <c r="B622" t="s">
        <v>22</v>
      </c>
      <c r="C622" t="s">
        <v>329</v>
      </c>
    </row>
    <row r="623" spans="1:3" x14ac:dyDescent="0.25">
      <c r="A623">
        <v>78</v>
      </c>
      <c r="B623" t="s">
        <v>23</v>
      </c>
      <c r="C623" t="s">
        <v>329</v>
      </c>
    </row>
    <row r="624" spans="1:3" x14ac:dyDescent="0.25">
      <c r="A624">
        <v>79</v>
      </c>
      <c r="B624" t="s">
        <v>16</v>
      </c>
      <c r="C624" t="s">
        <v>329</v>
      </c>
    </row>
    <row r="625" spans="1:3" x14ac:dyDescent="0.25">
      <c r="A625">
        <v>79</v>
      </c>
      <c r="B625" t="s">
        <v>17</v>
      </c>
      <c r="C625" t="s">
        <v>329</v>
      </c>
    </row>
    <row r="626" spans="1:3" x14ac:dyDescent="0.25">
      <c r="A626">
        <v>79</v>
      </c>
      <c r="B626" t="s">
        <v>18</v>
      </c>
      <c r="C626" t="s">
        <v>329</v>
      </c>
    </row>
    <row r="627" spans="1:3" x14ac:dyDescent="0.25">
      <c r="A627">
        <v>79</v>
      </c>
      <c r="B627" t="s">
        <v>19</v>
      </c>
      <c r="C627" t="s">
        <v>329</v>
      </c>
    </row>
    <row r="628" spans="1:3" x14ac:dyDescent="0.25">
      <c r="A628">
        <v>79</v>
      </c>
      <c r="B628" t="s">
        <v>20</v>
      </c>
      <c r="C628" t="s">
        <v>329</v>
      </c>
    </row>
    <row r="629" spans="1:3" x14ac:dyDescent="0.25">
      <c r="A629">
        <v>79</v>
      </c>
      <c r="B629" t="s">
        <v>21</v>
      </c>
      <c r="C629" t="s">
        <v>329</v>
      </c>
    </row>
    <row r="630" spans="1:3" x14ac:dyDescent="0.25">
      <c r="A630">
        <v>79</v>
      </c>
      <c r="B630" t="s">
        <v>22</v>
      </c>
      <c r="C630" t="s">
        <v>329</v>
      </c>
    </row>
    <row r="631" spans="1:3" x14ac:dyDescent="0.25">
      <c r="A631">
        <v>79</v>
      </c>
      <c r="B631" t="s">
        <v>23</v>
      </c>
      <c r="C631" t="s">
        <v>329</v>
      </c>
    </row>
    <row r="632" spans="1:3" x14ac:dyDescent="0.25">
      <c r="A632">
        <v>80</v>
      </c>
      <c r="B632" t="s">
        <v>16</v>
      </c>
      <c r="C632" t="s">
        <v>329</v>
      </c>
    </row>
    <row r="633" spans="1:3" x14ac:dyDescent="0.25">
      <c r="A633">
        <v>80</v>
      </c>
      <c r="B633" t="s">
        <v>17</v>
      </c>
      <c r="C633" t="s">
        <v>717</v>
      </c>
    </row>
    <row r="634" spans="1:3" x14ac:dyDescent="0.25">
      <c r="A634">
        <v>80</v>
      </c>
      <c r="B634" t="s">
        <v>18</v>
      </c>
      <c r="C634" t="s">
        <v>717</v>
      </c>
    </row>
    <row r="635" spans="1:3" x14ac:dyDescent="0.25">
      <c r="A635">
        <v>80</v>
      </c>
      <c r="B635" t="s">
        <v>19</v>
      </c>
      <c r="C635" t="s">
        <v>369</v>
      </c>
    </row>
    <row r="636" spans="1:3" x14ac:dyDescent="0.25">
      <c r="A636">
        <v>80</v>
      </c>
      <c r="B636" t="s">
        <v>20</v>
      </c>
      <c r="C636" t="s">
        <v>369</v>
      </c>
    </row>
    <row r="637" spans="1:3" x14ac:dyDescent="0.25">
      <c r="A637">
        <v>80</v>
      </c>
      <c r="B637" t="s">
        <v>21</v>
      </c>
      <c r="C637" t="s">
        <v>369</v>
      </c>
    </row>
    <row r="638" spans="1:3" x14ac:dyDescent="0.25">
      <c r="A638">
        <v>80</v>
      </c>
      <c r="B638" t="s">
        <v>22</v>
      </c>
      <c r="C638" t="s">
        <v>717</v>
      </c>
    </row>
    <row r="639" spans="1:3" x14ac:dyDescent="0.25">
      <c r="A639">
        <v>80</v>
      </c>
      <c r="B639" t="s">
        <v>23</v>
      </c>
      <c r="C639" t="s">
        <v>329</v>
      </c>
    </row>
    <row r="640" spans="1:3" x14ac:dyDescent="0.25">
      <c r="A640">
        <v>81</v>
      </c>
      <c r="B640" t="s">
        <v>16</v>
      </c>
      <c r="C640" t="s">
        <v>369</v>
      </c>
    </row>
    <row r="641" spans="1:3" x14ac:dyDescent="0.25">
      <c r="A641">
        <v>81</v>
      </c>
      <c r="B641" t="s">
        <v>17</v>
      </c>
      <c r="C641" t="s">
        <v>369</v>
      </c>
    </row>
    <row r="642" spans="1:3" x14ac:dyDescent="0.25">
      <c r="A642">
        <v>81</v>
      </c>
      <c r="B642" t="s">
        <v>18</v>
      </c>
      <c r="C642" t="s">
        <v>329</v>
      </c>
    </row>
    <row r="643" spans="1:3" x14ac:dyDescent="0.25">
      <c r="A643">
        <v>81</v>
      </c>
      <c r="B643" t="s">
        <v>19</v>
      </c>
      <c r="C643" t="s">
        <v>369</v>
      </c>
    </row>
    <row r="644" spans="1:3" x14ac:dyDescent="0.25">
      <c r="A644">
        <v>81</v>
      </c>
      <c r="B644" t="s">
        <v>20</v>
      </c>
      <c r="C644" t="s">
        <v>369</v>
      </c>
    </row>
    <row r="645" spans="1:3" x14ac:dyDescent="0.25">
      <c r="A645">
        <v>81</v>
      </c>
      <c r="B645" t="s">
        <v>21</v>
      </c>
      <c r="C645" t="s">
        <v>329</v>
      </c>
    </row>
    <row r="646" spans="1:3" x14ac:dyDescent="0.25">
      <c r="A646">
        <v>81</v>
      </c>
      <c r="B646" t="s">
        <v>22</v>
      </c>
      <c r="C646" t="s">
        <v>369</v>
      </c>
    </row>
    <row r="647" spans="1:3" x14ac:dyDescent="0.25">
      <c r="A647">
        <v>81</v>
      </c>
      <c r="B647" t="s">
        <v>23</v>
      </c>
      <c r="C647" t="s">
        <v>369</v>
      </c>
    </row>
    <row r="648" spans="1:3" x14ac:dyDescent="0.25">
      <c r="A648">
        <v>82</v>
      </c>
      <c r="B648" t="s">
        <v>16</v>
      </c>
      <c r="C648" t="s">
        <v>717</v>
      </c>
    </row>
    <row r="649" spans="1:3" x14ac:dyDescent="0.25">
      <c r="A649">
        <v>82</v>
      </c>
      <c r="B649" t="s">
        <v>17</v>
      </c>
      <c r="C649" t="s">
        <v>717</v>
      </c>
    </row>
    <row r="650" spans="1:3" x14ac:dyDescent="0.25">
      <c r="A650">
        <v>82</v>
      </c>
      <c r="B650" t="s">
        <v>18</v>
      </c>
      <c r="C650" t="s">
        <v>329</v>
      </c>
    </row>
    <row r="651" spans="1:3" x14ac:dyDescent="0.25">
      <c r="A651">
        <v>82</v>
      </c>
      <c r="B651" t="s">
        <v>19</v>
      </c>
      <c r="C651" t="s">
        <v>717</v>
      </c>
    </row>
    <row r="652" spans="1:3" x14ac:dyDescent="0.25">
      <c r="A652">
        <v>82</v>
      </c>
      <c r="B652" t="s">
        <v>20</v>
      </c>
      <c r="C652" t="s">
        <v>32</v>
      </c>
    </row>
    <row r="653" spans="1:3" x14ac:dyDescent="0.25">
      <c r="A653">
        <v>82</v>
      </c>
      <c r="B653" t="s">
        <v>21</v>
      </c>
      <c r="C653" t="s">
        <v>717</v>
      </c>
    </row>
    <row r="654" spans="1:3" x14ac:dyDescent="0.25">
      <c r="A654">
        <v>82</v>
      </c>
      <c r="B654" t="s">
        <v>22</v>
      </c>
      <c r="C654" t="s">
        <v>32</v>
      </c>
    </row>
    <row r="655" spans="1:3" x14ac:dyDescent="0.25">
      <c r="A655">
        <v>82</v>
      </c>
      <c r="B655" t="s">
        <v>23</v>
      </c>
      <c r="C655" t="s">
        <v>717</v>
      </c>
    </row>
    <row r="656" spans="1:3" x14ac:dyDescent="0.25">
      <c r="A656">
        <v>83</v>
      </c>
      <c r="B656" t="s">
        <v>16</v>
      </c>
      <c r="C656" t="s">
        <v>329</v>
      </c>
    </row>
    <row r="657" spans="1:3" x14ac:dyDescent="0.25">
      <c r="A657">
        <v>83</v>
      </c>
      <c r="B657" t="s">
        <v>17</v>
      </c>
      <c r="C657" t="s">
        <v>329</v>
      </c>
    </row>
    <row r="658" spans="1:3" x14ac:dyDescent="0.25">
      <c r="A658">
        <v>83</v>
      </c>
      <c r="B658" t="s">
        <v>18</v>
      </c>
      <c r="C658" t="s">
        <v>329</v>
      </c>
    </row>
    <row r="659" spans="1:3" x14ac:dyDescent="0.25">
      <c r="A659">
        <v>83</v>
      </c>
      <c r="B659" t="s">
        <v>19</v>
      </c>
      <c r="C659" t="s">
        <v>329</v>
      </c>
    </row>
    <row r="660" spans="1:3" x14ac:dyDescent="0.25">
      <c r="A660">
        <v>83</v>
      </c>
      <c r="B660" t="s">
        <v>20</v>
      </c>
      <c r="C660" t="s">
        <v>329</v>
      </c>
    </row>
    <row r="661" spans="1:3" x14ac:dyDescent="0.25">
      <c r="A661">
        <v>83</v>
      </c>
      <c r="B661" t="s">
        <v>21</v>
      </c>
      <c r="C661" t="s">
        <v>329</v>
      </c>
    </row>
    <row r="662" spans="1:3" x14ac:dyDescent="0.25">
      <c r="A662">
        <v>83</v>
      </c>
      <c r="B662" t="s">
        <v>22</v>
      </c>
      <c r="C662" t="s">
        <v>329</v>
      </c>
    </row>
    <row r="663" spans="1:3" x14ac:dyDescent="0.25">
      <c r="A663">
        <v>83</v>
      </c>
      <c r="B663" t="s">
        <v>23</v>
      </c>
      <c r="C663" t="s">
        <v>717</v>
      </c>
    </row>
    <row r="664" spans="1:3" x14ac:dyDescent="0.25">
      <c r="A664">
        <v>84</v>
      </c>
      <c r="B664" t="s">
        <v>16</v>
      </c>
      <c r="C664" t="s">
        <v>329</v>
      </c>
    </row>
    <row r="665" spans="1:3" x14ac:dyDescent="0.25">
      <c r="A665">
        <v>84</v>
      </c>
      <c r="B665" t="s">
        <v>17</v>
      </c>
      <c r="C665" t="s">
        <v>329</v>
      </c>
    </row>
    <row r="666" spans="1:3" x14ac:dyDescent="0.25">
      <c r="A666">
        <v>84</v>
      </c>
      <c r="B666" t="s">
        <v>18</v>
      </c>
      <c r="C666" t="s">
        <v>329</v>
      </c>
    </row>
    <row r="667" spans="1:3" x14ac:dyDescent="0.25">
      <c r="A667">
        <v>84</v>
      </c>
      <c r="B667" t="s">
        <v>19</v>
      </c>
      <c r="C667" t="s">
        <v>329</v>
      </c>
    </row>
    <row r="668" spans="1:3" x14ac:dyDescent="0.25">
      <c r="A668">
        <v>84</v>
      </c>
      <c r="B668" t="s">
        <v>20</v>
      </c>
      <c r="C668" t="s">
        <v>329</v>
      </c>
    </row>
    <row r="669" spans="1:3" x14ac:dyDescent="0.25">
      <c r="A669">
        <v>84</v>
      </c>
      <c r="B669" t="s">
        <v>21</v>
      </c>
      <c r="C669" t="s">
        <v>329</v>
      </c>
    </row>
    <row r="670" spans="1:3" x14ac:dyDescent="0.25">
      <c r="A670">
        <v>84</v>
      </c>
      <c r="B670" t="s">
        <v>22</v>
      </c>
      <c r="C670" t="s">
        <v>329</v>
      </c>
    </row>
    <row r="671" spans="1:3" x14ac:dyDescent="0.25">
      <c r="A671">
        <v>85</v>
      </c>
      <c r="B671" t="s">
        <v>16</v>
      </c>
      <c r="C671" t="s">
        <v>329</v>
      </c>
    </row>
    <row r="672" spans="1:3" x14ac:dyDescent="0.25">
      <c r="A672">
        <v>85</v>
      </c>
      <c r="B672" t="s">
        <v>17</v>
      </c>
      <c r="C672" t="s">
        <v>329</v>
      </c>
    </row>
    <row r="673" spans="1:3" x14ac:dyDescent="0.25">
      <c r="A673">
        <v>85</v>
      </c>
      <c r="B673" t="s">
        <v>18</v>
      </c>
      <c r="C673" t="s">
        <v>329</v>
      </c>
    </row>
    <row r="674" spans="1:3" x14ac:dyDescent="0.25">
      <c r="A674">
        <v>85</v>
      </c>
      <c r="B674" t="s">
        <v>19</v>
      </c>
      <c r="C674" t="s">
        <v>329</v>
      </c>
    </row>
    <row r="675" spans="1:3" x14ac:dyDescent="0.25">
      <c r="A675">
        <v>85</v>
      </c>
      <c r="B675" t="s">
        <v>20</v>
      </c>
      <c r="C675" t="s">
        <v>329</v>
      </c>
    </row>
    <row r="676" spans="1:3" x14ac:dyDescent="0.25">
      <c r="A676">
        <v>85</v>
      </c>
      <c r="B676" t="s">
        <v>21</v>
      </c>
      <c r="C676" t="s">
        <v>329</v>
      </c>
    </row>
    <row r="677" spans="1:3" x14ac:dyDescent="0.25">
      <c r="A677">
        <v>85</v>
      </c>
      <c r="B677" t="s">
        <v>22</v>
      </c>
      <c r="C677" t="s">
        <v>329</v>
      </c>
    </row>
    <row r="678" spans="1:3" x14ac:dyDescent="0.25">
      <c r="A678">
        <v>85</v>
      </c>
      <c r="B678" t="s">
        <v>23</v>
      </c>
      <c r="C678" t="s">
        <v>329</v>
      </c>
    </row>
    <row r="679" spans="1:3" x14ac:dyDescent="0.25">
      <c r="A679">
        <v>86</v>
      </c>
      <c r="B679" t="s">
        <v>16</v>
      </c>
      <c r="C679" t="s">
        <v>369</v>
      </c>
    </row>
    <row r="680" spans="1:3" x14ac:dyDescent="0.25">
      <c r="A680">
        <v>86</v>
      </c>
      <c r="B680" t="s">
        <v>17</v>
      </c>
      <c r="C680" t="s">
        <v>369</v>
      </c>
    </row>
    <row r="681" spans="1:3" x14ac:dyDescent="0.25">
      <c r="A681">
        <v>86</v>
      </c>
      <c r="B681" t="s">
        <v>18</v>
      </c>
      <c r="C681" t="s">
        <v>369</v>
      </c>
    </row>
    <row r="682" spans="1:3" x14ac:dyDescent="0.25">
      <c r="A682">
        <v>86</v>
      </c>
      <c r="B682" t="s">
        <v>19</v>
      </c>
      <c r="C682" t="s">
        <v>369</v>
      </c>
    </row>
    <row r="683" spans="1:3" x14ac:dyDescent="0.25">
      <c r="A683">
        <v>86</v>
      </c>
      <c r="B683" t="s">
        <v>20</v>
      </c>
      <c r="C683" t="s">
        <v>369</v>
      </c>
    </row>
    <row r="684" spans="1:3" x14ac:dyDescent="0.25">
      <c r="A684">
        <v>86</v>
      </c>
      <c r="B684" t="s">
        <v>21</v>
      </c>
      <c r="C684" t="s">
        <v>369</v>
      </c>
    </row>
    <row r="685" spans="1:3" x14ac:dyDescent="0.25">
      <c r="A685">
        <v>86</v>
      </c>
      <c r="B685" t="s">
        <v>22</v>
      </c>
      <c r="C685" t="s">
        <v>369</v>
      </c>
    </row>
    <row r="686" spans="1:3" x14ac:dyDescent="0.25">
      <c r="A686">
        <v>86</v>
      </c>
      <c r="B686" t="s">
        <v>23</v>
      </c>
      <c r="C686" t="s">
        <v>369</v>
      </c>
    </row>
    <row r="687" spans="1:3" x14ac:dyDescent="0.25">
      <c r="A687">
        <v>87</v>
      </c>
      <c r="B687" t="s">
        <v>16</v>
      </c>
      <c r="C687" t="s">
        <v>32</v>
      </c>
    </row>
    <row r="688" spans="1:3" x14ac:dyDescent="0.25">
      <c r="A688">
        <v>87</v>
      </c>
      <c r="B688" t="s">
        <v>17</v>
      </c>
      <c r="C688" t="s">
        <v>329</v>
      </c>
    </row>
    <row r="689" spans="1:3" x14ac:dyDescent="0.25">
      <c r="A689">
        <v>87</v>
      </c>
      <c r="B689" t="s">
        <v>18</v>
      </c>
      <c r="C689" t="s">
        <v>32</v>
      </c>
    </row>
    <row r="690" spans="1:3" x14ac:dyDescent="0.25">
      <c r="A690">
        <v>87</v>
      </c>
      <c r="B690" t="s">
        <v>19</v>
      </c>
      <c r="C690" t="s">
        <v>32</v>
      </c>
    </row>
    <row r="691" spans="1:3" x14ac:dyDescent="0.25">
      <c r="A691">
        <v>87</v>
      </c>
      <c r="B691" t="s">
        <v>20</v>
      </c>
      <c r="C691" t="s">
        <v>32</v>
      </c>
    </row>
    <row r="692" spans="1:3" x14ac:dyDescent="0.25">
      <c r="A692">
        <v>87</v>
      </c>
      <c r="B692" t="s">
        <v>21</v>
      </c>
      <c r="C692" t="s">
        <v>32</v>
      </c>
    </row>
    <row r="693" spans="1:3" x14ac:dyDescent="0.25">
      <c r="A693">
        <v>87</v>
      </c>
      <c r="B693" t="s">
        <v>22</v>
      </c>
      <c r="C693" t="s">
        <v>329</v>
      </c>
    </row>
    <row r="694" spans="1:3" x14ac:dyDescent="0.25">
      <c r="A694">
        <v>87</v>
      </c>
      <c r="B694" t="s">
        <v>23</v>
      </c>
      <c r="C694" t="s">
        <v>32</v>
      </c>
    </row>
    <row r="695" spans="1:3" x14ac:dyDescent="0.25">
      <c r="A695">
        <v>88</v>
      </c>
      <c r="B695" t="s">
        <v>16</v>
      </c>
      <c r="C695" t="s">
        <v>32</v>
      </c>
    </row>
    <row r="696" spans="1:3" x14ac:dyDescent="0.25">
      <c r="A696">
        <v>88</v>
      </c>
      <c r="B696" t="s">
        <v>17</v>
      </c>
      <c r="C696" t="s">
        <v>329</v>
      </c>
    </row>
    <row r="697" spans="1:3" x14ac:dyDescent="0.25">
      <c r="A697">
        <v>88</v>
      </c>
      <c r="B697" t="s">
        <v>18</v>
      </c>
      <c r="C697" t="s">
        <v>329</v>
      </c>
    </row>
    <row r="698" spans="1:3" x14ac:dyDescent="0.25">
      <c r="A698">
        <v>88</v>
      </c>
      <c r="B698" t="s">
        <v>19</v>
      </c>
      <c r="C698" t="s">
        <v>32</v>
      </c>
    </row>
    <row r="699" spans="1:3" x14ac:dyDescent="0.25">
      <c r="A699">
        <v>88</v>
      </c>
      <c r="B699" t="s">
        <v>20</v>
      </c>
      <c r="C699" t="s">
        <v>369</v>
      </c>
    </row>
    <row r="700" spans="1:3" x14ac:dyDescent="0.25">
      <c r="A700">
        <v>88</v>
      </c>
      <c r="B700" t="s">
        <v>21</v>
      </c>
      <c r="C700" t="s">
        <v>329</v>
      </c>
    </row>
    <row r="701" spans="1:3" x14ac:dyDescent="0.25">
      <c r="A701">
        <v>88</v>
      </c>
      <c r="B701" t="s">
        <v>22</v>
      </c>
      <c r="C701" t="s">
        <v>32</v>
      </c>
    </row>
    <row r="702" spans="1:3" x14ac:dyDescent="0.25">
      <c r="A702">
        <v>88</v>
      </c>
      <c r="B702" t="s">
        <v>23</v>
      </c>
      <c r="C702" t="s">
        <v>32</v>
      </c>
    </row>
    <row r="703" spans="1:3" x14ac:dyDescent="0.25">
      <c r="A703">
        <v>89</v>
      </c>
      <c r="B703" t="s">
        <v>16</v>
      </c>
      <c r="C703" t="s">
        <v>369</v>
      </c>
    </row>
    <row r="704" spans="1:3" x14ac:dyDescent="0.25">
      <c r="A704">
        <v>89</v>
      </c>
      <c r="B704" t="s">
        <v>17</v>
      </c>
      <c r="C704" t="s">
        <v>717</v>
      </c>
    </row>
    <row r="705" spans="1:3" x14ac:dyDescent="0.25">
      <c r="A705">
        <v>89</v>
      </c>
      <c r="B705" t="s">
        <v>18</v>
      </c>
      <c r="C705" t="s">
        <v>32</v>
      </c>
    </row>
    <row r="706" spans="1:3" x14ac:dyDescent="0.25">
      <c r="A706">
        <v>89</v>
      </c>
      <c r="B706" t="s">
        <v>19</v>
      </c>
      <c r="C706" t="s">
        <v>369</v>
      </c>
    </row>
    <row r="707" spans="1:3" x14ac:dyDescent="0.25">
      <c r="A707">
        <v>89</v>
      </c>
      <c r="B707" t="s">
        <v>20</v>
      </c>
      <c r="C707" t="s">
        <v>369</v>
      </c>
    </row>
    <row r="708" spans="1:3" x14ac:dyDescent="0.25">
      <c r="A708">
        <v>89</v>
      </c>
      <c r="B708" t="s">
        <v>21</v>
      </c>
      <c r="C708" t="s">
        <v>369</v>
      </c>
    </row>
    <row r="709" spans="1:3" x14ac:dyDescent="0.25">
      <c r="A709">
        <v>89</v>
      </c>
      <c r="B709" t="s">
        <v>22</v>
      </c>
      <c r="C709" t="s">
        <v>369</v>
      </c>
    </row>
    <row r="710" spans="1:3" x14ac:dyDescent="0.25">
      <c r="A710">
        <v>89</v>
      </c>
      <c r="B710" t="s">
        <v>23</v>
      </c>
      <c r="C710" t="s">
        <v>369</v>
      </c>
    </row>
    <row r="711" spans="1:3" x14ac:dyDescent="0.25">
      <c r="A711">
        <v>90</v>
      </c>
      <c r="B711" t="s">
        <v>16</v>
      </c>
      <c r="C711" t="s">
        <v>32</v>
      </c>
    </row>
    <row r="712" spans="1:3" x14ac:dyDescent="0.25">
      <c r="A712">
        <v>90</v>
      </c>
      <c r="B712" t="s">
        <v>17</v>
      </c>
      <c r="C712" t="s">
        <v>32</v>
      </c>
    </row>
    <row r="713" spans="1:3" x14ac:dyDescent="0.25">
      <c r="A713">
        <v>90</v>
      </c>
      <c r="B713" t="s">
        <v>18</v>
      </c>
      <c r="C713" t="s">
        <v>32</v>
      </c>
    </row>
    <row r="714" spans="1:3" x14ac:dyDescent="0.25">
      <c r="A714">
        <v>90</v>
      </c>
      <c r="B714" t="s">
        <v>19</v>
      </c>
      <c r="C714" t="s">
        <v>32</v>
      </c>
    </row>
    <row r="715" spans="1:3" x14ac:dyDescent="0.25">
      <c r="A715">
        <v>90</v>
      </c>
      <c r="B715" t="s">
        <v>20</v>
      </c>
      <c r="C715" t="s">
        <v>32</v>
      </c>
    </row>
    <row r="716" spans="1:3" x14ac:dyDescent="0.25">
      <c r="A716">
        <v>90</v>
      </c>
      <c r="B716" t="s">
        <v>21</v>
      </c>
      <c r="C716" t="s">
        <v>32</v>
      </c>
    </row>
    <row r="717" spans="1:3" x14ac:dyDescent="0.25">
      <c r="A717">
        <v>90</v>
      </c>
      <c r="B717" t="s">
        <v>22</v>
      </c>
      <c r="C717" t="s">
        <v>32</v>
      </c>
    </row>
    <row r="718" spans="1:3" x14ac:dyDescent="0.25">
      <c r="A718">
        <v>90</v>
      </c>
      <c r="B718" t="s">
        <v>23</v>
      </c>
      <c r="C718" t="s">
        <v>717</v>
      </c>
    </row>
    <row r="719" spans="1:3" x14ac:dyDescent="0.25">
      <c r="A719">
        <v>91</v>
      </c>
      <c r="B719" t="s">
        <v>16</v>
      </c>
      <c r="C719" t="s">
        <v>329</v>
      </c>
    </row>
    <row r="720" spans="1:3" x14ac:dyDescent="0.25">
      <c r="A720">
        <v>91</v>
      </c>
      <c r="B720" t="s">
        <v>17</v>
      </c>
      <c r="C720" t="s">
        <v>329</v>
      </c>
    </row>
    <row r="721" spans="1:3" x14ac:dyDescent="0.25">
      <c r="A721">
        <v>91</v>
      </c>
      <c r="B721" t="s">
        <v>18</v>
      </c>
      <c r="C721" t="s">
        <v>329</v>
      </c>
    </row>
    <row r="722" spans="1:3" x14ac:dyDescent="0.25">
      <c r="A722">
        <v>91</v>
      </c>
      <c r="B722" t="s">
        <v>19</v>
      </c>
      <c r="C722" t="s">
        <v>329</v>
      </c>
    </row>
    <row r="723" spans="1:3" x14ac:dyDescent="0.25">
      <c r="A723">
        <v>91</v>
      </c>
      <c r="B723" t="s">
        <v>20</v>
      </c>
      <c r="C723" t="s">
        <v>329</v>
      </c>
    </row>
    <row r="724" spans="1:3" x14ac:dyDescent="0.25">
      <c r="A724">
        <v>91</v>
      </c>
      <c r="B724" t="s">
        <v>21</v>
      </c>
      <c r="C724" t="s">
        <v>329</v>
      </c>
    </row>
    <row r="725" spans="1:3" x14ac:dyDescent="0.25">
      <c r="A725">
        <v>91</v>
      </c>
      <c r="B725" t="s">
        <v>22</v>
      </c>
      <c r="C725" t="s">
        <v>329</v>
      </c>
    </row>
    <row r="726" spans="1:3" x14ac:dyDescent="0.25">
      <c r="A726">
        <v>91</v>
      </c>
      <c r="B726" t="s">
        <v>23</v>
      </c>
      <c r="C726" t="s">
        <v>329</v>
      </c>
    </row>
    <row r="727" spans="1:3" x14ac:dyDescent="0.25">
      <c r="A727">
        <v>92</v>
      </c>
      <c r="B727" t="s">
        <v>16</v>
      </c>
      <c r="C727" t="s">
        <v>369</v>
      </c>
    </row>
    <row r="728" spans="1:3" x14ac:dyDescent="0.25">
      <c r="A728">
        <v>92</v>
      </c>
      <c r="B728" t="s">
        <v>17</v>
      </c>
      <c r="C728" t="s">
        <v>369</v>
      </c>
    </row>
    <row r="729" spans="1:3" x14ac:dyDescent="0.25">
      <c r="A729">
        <v>92</v>
      </c>
      <c r="B729" t="s">
        <v>18</v>
      </c>
      <c r="C729" t="s">
        <v>369</v>
      </c>
    </row>
    <row r="730" spans="1:3" x14ac:dyDescent="0.25">
      <c r="A730">
        <v>92</v>
      </c>
      <c r="B730" t="s">
        <v>19</v>
      </c>
      <c r="C730" t="s">
        <v>369</v>
      </c>
    </row>
    <row r="731" spans="1:3" x14ac:dyDescent="0.25">
      <c r="A731">
        <v>92</v>
      </c>
      <c r="B731" t="s">
        <v>20</v>
      </c>
      <c r="C731" t="s">
        <v>369</v>
      </c>
    </row>
    <row r="732" spans="1:3" x14ac:dyDescent="0.25">
      <c r="A732">
        <v>92</v>
      </c>
      <c r="B732" t="s">
        <v>21</v>
      </c>
      <c r="C732" t="s">
        <v>369</v>
      </c>
    </row>
    <row r="733" spans="1:3" x14ac:dyDescent="0.25">
      <c r="A733">
        <v>92</v>
      </c>
      <c r="B733" t="s">
        <v>22</v>
      </c>
      <c r="C733" t="s">
        <v>369</v>
      </c>
    </row>
    <row r="734" spans="1:3" x14ac:dyDescent="0.25">
      <c r="A734">
        <v>92</v>
      </c>
      <c r="B734" t="s">
        <v>23</v>
      </c>
      <c r="C734" t="s">
        <v>369</v>
      </c>
    </row>
    <row r="735" spans="1:3" x14ac:dyDescent="0.25">
      <c r="A735">
        <v>93</v>
      </c>
      <c r="B735" t="s">
        <v>16</v>
      </c>
      <c r="C735" t="s">
        <v>329</v>
      </c>
    </row>
    <row r="736" spans="1:3" x14ac:dyDescent="0.25">
      <c r="A736">
        <v>93</v>
      </c>
      <c r="B736" t="s">
        <v>17</v>
      </c>
      <c r="C736" t="s">
        <v>329</v>
      </c>
    </row>
    <row r="737" spans="1:3" x14ac:dyDescent="0.25">
      <c r="A737">
        <v>93</v>
      </c>
      <c r="B737" t="s">
        <v>18</v>
      </c>
      <c r="C737" t="s">
        <v>329</v>
      </c>
    </row>
    <row r="738" spans="1:3" x14ac:dyDescent="0.25">
      <c r="A738">
        <v>93</v>
      </c>
      <c r="B738" t="s">
        <v>19</v>
      </c>
      <c r="C738" t="s">
        <v>329</v>
      </c>
    </row>
    <row r="739" spans="1:3" x14ac:dyDescent="0.25">
      <c r="A739">
        <v>93</v>
      </c>
      <c r="B739" t="s">
        <v>20</v>
      </c>
      <c r="C739" t="s">
        <v>329</v>
      </c>
    </row>
    <row r="740" spans="1:3" x14ac:dyDescent="0.25">
      <c r="A740">
        <v>93</v>
      </c>
      <c r="B740" t="s">
        <v>21</v>
      </c>
      <c r="C740" t="s">
        <v>329</v>
      </c>
    </row>
    <row r="741" spans="1:3" x14ac:dyDescent="0.25">
      <c r="A741">
        <v>93</v>
      </c>
      <c r="B741" t="s">
        <v>22</v>
      </c>
      <c r="C741" t="s">
        <v>329</v>
      </c>
    </row>
    <row r="742" spans="1:3" x14ac:dyDescent="0.25">
      <c r="A742">
        <v>93</v>
      </c>
      <c r="B742" t="s">
        <v>23</v>
      </c>
      <c r="C742" t="s">
        <v>329</v>
      </c>
    </row>
    <row r="743" spans="1:3" x14ac:dyDescent="0.25">
      <c r="A743">
        <v>94</v>
      </c>
      <c r="B743" t="s">
        <v>16</v>
      </c>
      <c r="C743" t="s">
        <v>32</v>
      </c>
    </row>
    <row r="744" spans="1:3" x14ac:dyDescent="0.25">
      <c r="A744">
        <v>94</v>
      </c>
      <c r="B744" t="s">
        <v>17</v>
      </c>
      <c r="C744" t="s">
        <v>32</v>
      </c>
    </row>
    <row r="745" spans="1:3" x14ac:dyDescent="0.25">
      <c r="A745">
        <v>94</v>
      </c>
      <c r="B745" t="s">
        <v>18</v>
      </c>
      <c r="C745" t="s">
        <v>32</v>
      </c>
    </row>
    <row r="746" spans="1:3" x14ac:dyDescent="0.25">
      <c r="A746">
        <v>94</v>
      </c>
      <c r="B746" t="s">
        <v>19</v>
      </c>
      <c r="C746" t="s">
        <v>717</v>
      </c>
    </row>
    <row r="747" spans="1:3" x14ac:dyDescent="0.25">
      <c r="A747">
        <v>94</v>
      </c>
      <c r="B747" t="s">
        <v>20</v>
      </c>
      <c r="C747" t="s">
        <v>32</v>
      </c>
    </row>
    <row r="748" spans="1:3" x14ac:dyDescent="0.25">
      <c r="A748">
        <v>94</v>
      </c>
      <c r="B748" t="s">
        <v>21</v>
      </c>
      <c r="C748" t="s">
        <v>717</v>
      </c>
    </row>
    <row r="749" spans="1:3" x14ac:dyDescent="0.25">
      <c r="A749">
        <v>94</v>
      </c>
      <c r="B749" t="s">
        <v>22</v>
      </c>
      <c r="C749" t="s">
        <v>717</v>
      </c>
    </row>
    <row r="750" spans="1:3" x14ac:dyDescent="0.25">
      <c r="A750">
        <v>94</v>
      </c>
      <c r="B750" t="s">
        <v>23</v>
      </c>
      <c r="C750" t="s">
        <v>717</v>
      </c>
    </row>
    <row r="751" spans="1:3" x14ac:dyDescent="0.25">
      <c r="A751">
        <v>95</v>
      </c>
      <c r="B751" t="s">
        <v>16</v>
      </c>
      <c r="C751" t="s">
        <v>369</v>
      </c>
    </row>
    <row r="752" spans="1:3" x14ac:dyDescent="0.25">
      <c r="A752">
        <v>95</v>
      </c>
      <c r="B752" t="s">
        <v>17</v>
      </c>
      <c r="C752" t="s">
        <v>369</v>
      </c>
    </row>
    <row r="753" spans="1:3" x14ac:dyDescent="0.25">
      <c r="A753">
        <v>95</v>
      </c>
      <c r="B753" t="s">
        <v>18</v>
      </c>
      <c r="C753" t="s">
        <v>32</v>
      </c>
    </row>
    <row r="754" spans="1:3" x14ac:dyDescent="0.25">
      <c r="A754">
        <v>95</v>
      </c>
      <c r="B754" t="s">
        <v>19</v>
      </c>
      <c r="C754" t="s">
        <v>369</v>
      </c>
    </row>
    <row r="755" spans="1:3" x14ac:dyDescent="0.25">
      <c r="A755">
        <v>95</v>
      </c>
      <c r="B755" t="s">
        <v>20</v>
      </c>
      <c r="C755" t="s">
        <v>717</v>
      </c>
    </row>
    <row r="756" spans="1:3" x14ac:dyDescent="0.25">
      <c r="A756">
        <v>95</v>
      </c>
      <c r="B756" t="s">
        <v>21</v>
      </c>
      <c r="C756" t="s">
        <v>369</v>
      </c>
    </row>
    <row r="757" spans="1:3" x14ac:dyDescent="0.25">
      <c r="A757">
        <v>95</v>
      </c>
      <c r="B757" t="s">
        <v>22</v>
      </c>
      <c r="C757" t="s">
        <v>369</v>
      </c>
    </row>
    <row r="758" spans="1:3" x14ac:dyDescent="0.25">
      <c r="A758">
        <v>95</v>
      </c>
      <c r="B758" t="s">
        <v>23</v>
      </c>
      <c r="C758" t="s">
        <v>717</v>
      </c>
    </row>
    <row r="759" spans="1:3" x14ac:dyDescent="0.25">
      <c r="A759">
        <v>96</v>
      </c>
      <c r="B759" t="s">
        <v>16</v>
      </c>
      <c r="C759" t="s">
        <v>329</v>
      </c>
    </row>
    <row r="760" spans="1:3" x14ac:dyDescent="0.25">
      <c r="A760">
        <v>96</v>
      </c>
      <c r="B760" t="s">
        <v>17</v>
      </c>
      <c r="C760" t="s">
        <v>329</v>
      </c>
    </row>
    <row r="761" spans="1:3" x14ac:dyDescent="0.25">
      <c r="A761">
        <v>96</v>
      </c>
      <c r="B761" t="s">
        <v>18</v>
      </c>
      <c r="C761" t="s">
        <v>32</v>
      </c>
    </row>
    <row r="762" spans="1:3" x14ac:dyDescent="0.25">
      <c r="A762">
        <v>96</v>
      </c>
      <c r="B762" t="s">
        <v>19</v>
      </c>
      <c r="C762" t="s">
        <v>329</v>
      </c>
    </row>
    <row r="763" spans="1:3" x14ac:dyDescent="0.25">
      <c r="A763">
        <v>96</v>
      </c>
      <c r="B763" t="s">
        <v>20</v>
      </c>
      <c r="C763" t="s">
        <v>32</v>
      </c>
    </row>
    <row r="764" spans="1:3" x14ac:dyDescent="0.25">
      <c r="A764">
        <v>96</v>
      </c>
      <c r="B764" t="s">
        <v>21</v>
      </c>
      <c r="C764" t="s">
        <v>32</v>
      </c>
    </row>
    <row r="765" spans="1:3" x14ac:dyDescent="0.25">
      <c r="A765">
        <v>96</v>
      </c>
      <c r="B765" t="s">
        <v>22</v>
      </c>
      <c r="C765" t="s">
        <v>329</v>
      </c>
    </row>
    <row r="766" spans="1:3" x14ac:dyDescent="0.25">
      <c r="A766">
        <v>96</v>
      </c>
      <c r="B766" t="s">
        <v>23</v>
      </c>
      <c r="C766" t="s">
        <v>329</v>
      </c>
    </row>
    <row r="767" spans="1:3" x14ac:dyDescent="0.25">
      <c r="A767">
        <v>97</v>
      </c>
      <c r="B767" t="s">
        <v>16</v>
      </c>
      <c r="C767" t="s">
        <v>329</v>
      </c>
    </row>
    <row r="768" spans="1:3" x14ac:dyDescent="0.25">
      <c r="A768">
        <v>97</v>
      </c>
      <c r="B768" t="s">
        <v>17</v>
      </c>
      <c r="C768" t="s">
        <v>329</v>
      </c>
    </row>
    <row r="769" spans="1:3" x14ac:dyDescent="0.25">
      <c r="A769">
        <v>97</v>
      </c>
      <c r="B769" t="s">
        <v>18</v>
      </c>
      <c r="C769" t="s">
        <v>329</v>
      </c>
    </row>
    <row r="770" spans="1:3" x14ac:dyDescent="0.25">
      <c r="A770">
        <v>97</v>
      </c>
      <c r="B770" t="s">
        <v>19</v>
      </c>
      <c r="C770" t="s">
        <v>329</v>
      </c>
    </row>
    <row r="771" spans="1:3" x14ac:dyDescent="0.25">
      <c r="A771">
        <v>97</v>
      </c>
      <c r="B771" t="s">
        <v>20</v>
      </c>
      <c r="C771" t="s">
        <v>329</v>
      </c>
    </row>
    <row r="772" spans="1:3" x14ac:dyDescent="0.25">
      <c r="A772">
        <v>97</v>
      </c>
      <c r="B772" t="s">
        <v>21</v>
      </c>
      <c r="C772" t="s">
        <v>329</v>
      </c>
    </row>
    <row r="773" spans="1:3" x14ac:dyDescent="0.25">
      <c r="A773">
        <v>97</v>
      </c>
      <c r="B773" t="s">
        <v>22</v>
      </c>
      <c r="C773" t="s">
        <v>329</v>
      </c>
    </row>
    <row r="774" spans="1:3" x14ac:dyDescent="0.25">
      <c r="A774">
        <v>97</v>
      </c>
      <c r="B774" t="s">
        <v>23</v>
      </c>
      <c r="C774" t="s">
        <v>329</v>
      </c>
    </row>
    <row r="775" spans="1:3" x14ac:dyDescent="0.25">
      <c r="A775">
        <v>98</v>
      </c>
      <c r="B775" t="s">
        <v>16</v>
      </c>
      <c r="C775" t="s">
        <v>329</v>
      </c>
    </row>
    <row r="776" spans="1:3" x14ac:dyDescent="0.25">
      <c r="A776">
        <v>98</v>
      </c>
      <c r="B776" t="s">
        <v>17</v>
      </c>
      <c r="C776" t="s">
        <v>329</v>
      </c>
    </row>
    <row r="777" spans="1:3" x14ac:dyDescent="0.25">
      <c r="A777">
        <v>98</v>
      </c>
      <c r="B777" t="s">
        <v>18</v>
      </c>
      <c r="C777" t="s">
        <v>329</v>
      </c>
    </row>
    <row r="778" spans="1:3" x14ac:dyDescent="0.25">
      <c r="A778">
        <v>98</v>
      </c>
      <c r="B778" t="s">
        <v>19</v>
      </c>
      <c r="C778" t="s">
        <v>329</v>
      </c>
    </row>
    <row r="779" spans="1:3" x14ac:dyDescent="0.25">
      <c r="A779">
        <v>98</v>
      </c>
      <c r="B779" t="s">
        <v>20</v>
      </c>
      <c r="C779" t="s">
        <v>329</v>
      </c>
    </row>
    <row r="780" spans="1:3" x14ac:dyDescent="0.25">
      <c r="A780">
        <v>98</v>
      </c>
      <c r="B780" t="s">
        <v>21</v>
      </c>
      <c r="C780" t="s">
        <v>329</v>
      </c>
    </row>
    <row r="781" spans="1:3" x14ac:dyDescent="0.25">
      <c r="A781">
        <v>98</v>
      </c>
      <c r="B781" t="s">
        <v>22</v>
      </c>
      <c r="C781" t="s">
        <v>329</v>
      </c>
    </row>
    <row r="782" spans="1:3" x14ac:dyDescent="0.25">
      <c r="A782">
        <v>98</v>
      </c>
      <c r="B782" t="s">
        <v>23</v>
      </c>
      <c r="C782" t="s">
        <v>329</v>
      </c>
    </row>
    <row r="783" spans="1:3" x14ac:dyDescent="0.25">
      <c r="A783">
        <v>99</v>
      </c>
      <c r="B783" t="s">
        <v>16</v>
      </c>
      <c r="C783" t="s">
        <v>329</v>
      </c>
    </row>
    <row r="784" spans="1:3" x14ac:dyDescent="0.25">
      <c r="A784">
        <v>99</v>
      </c>
      <c r="B784" t="s">
        <v>17</v>
      </c>
      <c r="C784" t="s">
        <v>32</v>
      </c>
    </row>
    <row r="785" spans="1:3" x14ac:dyDescent="0.25">
      <c r="A785">
        <v>99</v>
      </c>
      <c r="B785" t="s">
        <v>18</v>
      </c>
      <c r="C785" t="s">
        <v>329</v>
      </c>
    </row>
    <row r="786" spans="1:3" x14ac:dyDescent="0.25">
      <c r="A786">
        <v>99</v>
      </c>
      <c r="B786" t="s">
        <v>19</v>
      </c>
      <c r="C786" t="s">
        <v>329</v>
      </c>
    </row>
    <row r="787" spans="1:3" x14ac:dyDescent="0.25">
      <c r="A787">
        <v>99</v>
      </c>
      <c r="B787" t="s">
        <v>20</v>
      </c>
      <c r="C787" t="s">
        <v>717</v>
      </c>
    </row>
    <row r="788" spans="1:3" x14ac:dyDescent="0.25">
      <c r="A788">
        <v>99</v>
      </c>
      <c r="B788" t="s">
        <v>21</v>
      </c>
      <c r="C788" t="s">
        <v>329</v>
      </c>
    </row>
    <row r="789" spans="1:3" x14ac:dyDescent="0.25">
      <c r="A789">
        <v>99</v>
      </c>
      <c r="B789" t="s">
        <v>22</v>
      </c>
      <c r="C789" t="s">
        <v>329</v>
      </c>
    </row>
    <row r="790" spans="1:3" x14ac:dyDescent="0.25">
      <c r="A790">
        <v>99</v>
      </c>
      <c r="B790" t="s">
        <v>23</v>
      </c>
      <c r="C790" t="s">
        <v>32</v>
      </c>
    </row>
    <row r="791" spans="1:3" x14ac:dyDescent="0.25">
      <c r="A791">
        <v>100</v>
      </c>
      <c r="B791" t="s">
        <v>16</v>
      </c>
      <c r="C791" t="s">
        <v>369</v>
      </c>
    </row>
    <row r="792" spans="1:3" x14ac:dyDescent="0.25">
      <c r="A792">
        <v>100</v>
      </c>
      <c r="B792" t="s">
        <v>17</v>
      </c>
      <c r="C792" t="s">
        <v>32</v>
      </c>
    </row>
    <row r="793" spans="1:3" x14ac:dyDescent="0.25">
      <c r="A793">
        <v>100</v>
      </c>
      <c r="B793" t="s">
        <v>18</v>
      </c>
      <c r="C793" t="s">
        <v>32</v>
      </c>
    </row>
    <row r="794" spans="1:3" x14ac:dyDescent="0.25">
      <c r="A794">
        <v>100</v>
      </c>
      <c r="B794" t="s">
        <v>19</v>
      </c>
      <c r="C794" t="s">
        <v>32</v>
      </c>
    </row>
    <row r="795" spans="1:3" x14ac:dyDescent="0.25">
      <c r="A795">
        <v>100</v>
      </c>
      <c r="B795" t="s">
        <v>20</v>
      </c>
      <c r="C795" t="s">
        <v>32</v>
      </c>
    </row>
    <row r="796" spans="1:3" x14ac:dyDescent="0.25">
      <c r="A796">
        <v>100</v>
      </c>
      <c r="B796" t="s">
        <v>21</v>
      </c>
      <c r="C796" t="s">
        <v>32</v>
      </c>
    </row>
    <row r="797" spans="1:3" x14ac:dyDescent="0.25">
      <c r="A797">
        <v>100</v>
      </c>
      <c r="B797" t="s">
        <v>22</v>
      </c>
      <c r="C797" t="s">
        <v>32</v>
      </c>
    </row>
    <row r="798" spans="1:3" x14ac:dyDescent="0.25">
      <c r="A798">
        <v>100</v>
      </c>
      <c r="B798" t="s">
        <v>23</v>
      </c>
      <c r="C798" t="s">
        <v>369</v>
      </c>
    </row>
    <row r="799" spans="1:3" x14ac:dyDescent="0.25">
      <c r="A799">
        <v>101</v>
      </c>
      <c r="B799" t="s">
        <v>16</v>
      </c>
      <c r="C799" t="s">
        <v>32</v>
      </c>
    </row>
    <row r="800" spans="1:3" x14ac:dyDescent="0.25">
      <c r="A800">
        <v>101</v>
      </c>
      <c r="B800" t="s">
        <v>17</v>
      </c>
      <c r="C800" t="s">
        <v>32</v>
      </c>
    </row>
    <row r="801" spans="1:3" x14ac:dyDescent="0.25">
      <c r="A801">
        <v>101</v>
      </c>
      <c r="B801" t="s">
        <v>18</v>
      </c>
      <c r="C801" t="s">
        <v>329</v>
      </c>
    </row>
    <row r="802" spans="1:3" x14ac:dyDescent="0.25">
      <c r="A802">
        <v>101</v>
      </c>
      <c r="B802" t="s">
        <v>19</v>
      </c>
      <c r="C802" t="s">
        <v>32</v>
      </c>
    </row>
    <row r="803" spans="1:3" x14ac:dyDescent="0.25">
      <c r="A803">
        <v>101</v>
      </c>
      <c r="B803" t="s">
        <v>20</v>
      </c>
      <c r="C803" t="s">
        <v>32</v>
      </c>
    </row>
    <row r="804" spans="1:3" x14ac:dyDescent="0.25">
      <c r="A804">
        <v>101</v>
      </c>
      <c r="B804" t="s">
        <v>21</v>
      </c>
      <c r="C804" t="s">
        <v>329</v>
      </c>
    </row>
    <row r="805" spans="1:3" x14ac:dyDescent="0.25">
      <c r="A805">
        <v>101</v>
      </c>
      <c r="B805" t="s">
        <v>22</v>
      </c>
      <c r="C805" t="s">
        <v>329</v>
      </c>
    </row>
    <row r="806" spans="1:3" x14ac:dyDescent="0.25">
      <c r="A806">
        <v>101</v>
      </c>
      <c r="B806" t="s">
        <v>23</v>
      </c>
      <c r="C806" t="s">
        <v>717</v>
      </c>
    </row>
    <row r="807" spans="1:3" x14ac:dyDescent="0.25">
      <c r="A807">
        <v>102</v>
      </c>
      <c r="B807" t="s">
        <v>16</v>
      </c>
      <c r="C807" t="s">
        <v>32</v>
      </c>
    </row>
    <row r="808" spans="1:3" x14ac:dyDescent="0.25">
      <c r="A808">
        <v>102</v>
      </c>
      <c r="B808" t="s">
        <v>17</v>
      </c>
      <c r="C808" t="s">
        <v>329</v>
      </c>
    </row>
    <row r="809" spans="1:3" x14ac:dyDescent="0.25">
      <c r="A809">
        <v>102</v>
      </c>
      <c r="B809" t="s">
        <v>18</v>
      </c>
      <c r="C809" t="s">
        <v>329</v>
      </c>
    </row>
    <row r="810" spans="1:3" x14ac:dyDescent="0.25">
      <c r="A810">
        <v>102</v>
      </c>
      <c r="B810" t="s">
        <v>19</v>
      </c>
      <c r="C810" t="s">
        <v>32</v>
      </c>
    </row>
    <row r="811" spans="1:3" x14ac:dyDescent="0.25">
      <c r="A811">
        <v>102</v>
      </c>
      <c r="B811" t="s">
        <v>20</v>
      </c>
      <c r="C811" t="s">
        <v>329</v>
      </c>
    </row>
    <row r="812" spans="1:3" x14ac:dyDescent="0.25">
      <c r="A812">
        <v>102</v>
      </c>
      <c r="B812" t="s">
        <v>21</v>
      </c>
      <c r="C812" t="s">
        <v>32</v>
      </c>
    </row>
    <row r="813" spans="1:3" x14ac:dyDescent="0.25">
      <c r="A813">
        <v>102</v>
      </c>
      <c r="B813" t="s">
        <v>22</v>
      </c>
      <c r="C813" t="s">
        <v>329</v>
      </c>
    </row>
    <row r="814" spans="1:3" x14ac:dyDescent="0.25">
      <c r="A814">
        <v>102</v>
      </c>
      <c r="B814" t="s">
        <v>23</v>
      </c>
      <c r="C814" t="s">
        <v>329</v>
      </c>
    </row>
    <row r="815" spans="1:3" x14ac:dyDescent="0.25">
      <c r="A815">
        <v>103</v>
      </c>
      <c r="B815" t="s">
        <v>16</v>
      </c>
      <c r="C815" t="s">
        <v>369</v>
      </c>
    </row>
    <row r="816" spans="1:3" x14ac:dyDescent="0.25">
      <c r="A816">
        <v>103</v>
      </c>
      <c r="B816" t="s">
        <v>17</v>
      </c>
      <c r="C816" t="s">
        <v>369</v>
      </c>
    </row>
    <row r="817" spans="1:3" x14ac:dyDescent="0.25">
      <c r="A817">
        <v>103</v>
      </c>
      <c r="B817" t="s">
        <v>18</v>
      </c>
      <c r="C817" t="s">
        <v>369</v>
      </c>
    </row>
    <row r="818" spans="1:3" x14ac:dyDescent="0.25">
      <c r="A818">
        <v>103</v>
      </c>
      <c r="B818" t="s">
        <v>19</v>
      </c>
      <c r="C818" t="s">
        <v>369</v>
      </c>
    </row>
    <row r="819" spans="1:3" x14ac:dyDescent="0.25">
      <c r="A819">
        <v>103</v>
      </c>
      <c r="B819" t="s">
        <v>20</v>
      </c>
      <c r="C819" t="s">
        <v>369</v>
      </c>
    </row>
    <row r="820" spans="1:3" x14ac:dyDescent="0.25">
      <c r="A820">
        <v>103</v>
      </c>
      <c r="B820" t="s">
        <v>21</v>
      </c>
      <c r="C820" t="s">
        <v>369</v>
      </c>
    </row>
    <row r="821" spans="1:3" x14ac:dyDescent="0.25">
      <c r="A821">
        <v>103</v>
      </c>
      <c r="B821" t="s">
        <v>22</v>
      </c>
      <c r="C821" t="s">
        <v>369</v>
      </c>
    </row>
    <row r="822" spans="1:3" x14ac:dyDescent="0.25">
      <c r="A822">
        <v>103</v>
      </c>
      <c r="B822" t="s">
        <v>23</v>
      </c>
      <c r="C822" t="s">
        <v>369</v>
      </c>
    </row>
    <row r="823" spans="1:3" x14ac:dyDescent="0.25">
      <c r="A823">
        <v>104</v>
      </c>
      <c r="B823" t="s">
        <v>16</v>
      </c>
      <c r="C823" t="s">
        <v>32</v>
      </c>
    </row>
    <row r="824" spans="1:3" x14ac:dyDescent="0.25">
      <c r="A824">
        <v>104</v>
      </c>
      <c r="B824" t="s">
        <v>17</v>
      </c>
      <c r="C824" t="s">
        <v>32</v>
      </c>
    </row>
    <row r="825" spans="1:3" x14ac:dyDescent="0.25">
      <c r="A825">
        <v>104</v>
      </c>
      <c r="B825" t="s">
        <v>18</v>
      </c>
      <c r="C825" t="s">
        <v>329</v>
      </c>
    </row>
    <row r="826" spans="1:3" x14ac:dyDescent="0.25">
      <c r="A826">
        <v>104</v>
      </c>
      <c r="B826" t="s">
        <v>19</v>
      </c>
      <c r="C826" t="s">
        <v>329</v>
      </c>
    </row>
    <row r="827" spans="1:3" x14ac:dyDescent="0.25">
      <c r="A827">
        <v>104</v>
      </c>
      <c r="B827" t="s">
        <v>20</v>
      </c>
      <c r="C827" t="s">
        <v>32</v>
      </c>
    </row>
    <row r="828" spans="1:3" x14ac:dyDescent="0.25">
      <c r="A828">
        <v>104</v>
      </c>
      <c r="B828" t="s">
        <v>21</v>
      </c>
      <c r="C828" t="s">
        <v>32</v>
      </c>
    </row>
    <row r="829" spans="1:3" x14ac:dyDescent="0.25">
      <c r="A829">
        <v>104</v>
      </c>
      <c r="B829" t="s">
        <v>22</v>
      </c>
      <c r="C829" t="s">
        <v>32</v>
      </c>
    </row>
    <row r="830" spans="1:3" x14ac:dyDescent="0.25">
      <c r="A830">
        <v>104</v>
      </c>
      <c r="B830" t="s">
        <v>23</v>
      </c>
      <c r="C830" t="s">
        <v>329</v>
      </c>
    </row>
    <row r="831" spans="1:3" x14ac:dyDescent="0.25">
      <c r="A831">
        <v>105</v>
      </c>
      <c r="B831" t="s">
        <v>16</v>
      </c>
      <c r="C831" t="s">
        <v>32</v>
      </c>
    </row>
    <row r="832" spans="1:3" x14ac:dyDescent="0.25">
      <c r="A832">
        <v>105</v>
      </c>
      <c r="B832" t="s">
        <v>17</v>
      </c>
      <c r="C832" t="s">
        <v>32</v>
      </c>
    </row>
    <row r="833" spans="1:3" x14ac:dyDescent="0.25">
      <c r="A833">
        <v>105</v>
      </c>
      <c r="B833" t="s">
        <v>18</v>
      </c>
      <c r="C833" t="s">
        <v>32</v>
      </c>
    </row>
    <row r="834" spans="1:3" x14ac:dyDescent="0.25">
      <c r="A834">
        <v>105</v>
      </c>
      <c r="B834" t="s">
        <v>19</v>
      </c>
      <c r="C834" t="s">
        <v>32</v>
      </c>
    </row>
    <row r="835" spans="1:3" x14ac:dyDescent="0.25">
      <c r="A835">
        <v>105</v>
      </c>
      <c r="B835" t="s">
        <v>20</v>
      </c>
      <c r="C835" t="s">
        <v>32</v>
      </c>
    </row>
    <row r="836" spans="1:3" x14ac:dyDescent="0.25">
      <c r="A836">
        <v>105</v>
      </c>
      <c r="B836" t="s">
        <v>21</v>
      </c>
      <c r="C836" t="s">
        <v>32</v>
      </c>
    </row>
    <row r="837" spans="1:3" x14ac:dyDescent="0.25">
      <c r="A837">
        <v>105</v>
      </c>
      <c r="B837" t="s">
        <v>22</v>
      </c>
      <c r="C837" t="s">
        <v>32</v>
      </c>
    </row>
    <row r="838" spans="1:3" x14ac:dyDescent="0.25">
      <c r="A838">
        <v>105</v>
      </c>
      <c r="B838" t="s">
        <v>23</v>
      </c>
      <c r="C838" t="s">
        <v>32</v>
      </c>
    </row>
    <row r="839" spans="1:3" x14ac:dyDescent="0.25">
      <c r="A839">
        <v>106</v>
      </c>
      <c r="B839" t="s">
        <v>16</v>
      </c>
      <c r="C839" t="s">
        <v>329</v>
      </c>
    </row>
    <row r="840" spans="1:3" x14ac:dyDescent="0.25">
      <c r="A840">
        <v>106</v>
      </c>
      <c r="B840" t="s">
        <v>17</v>
      </c>
      <c r="C840" t="s">
        <v>329</v>
      </c>
    </row>
    <row r="841" spans="1:3" x14ac:dyDescent="0.25">
      <c r="A841">
        <v>106</v>
      </c>
      <c r="B841" t="s">
        <v>18</v>
      </c>
      <c r="C841" t="s">
        <v>329</v>
      </c>
    </row>
    <row r="842" spans="1:3" x14ac:dyDescent="0.25">
      <c r="A842">
        <v>106</v>
      </c>
      <c r="B842" t="s">
        <v>19</v>
      </c>
      <c r="C842" t="s">
        <v>329</v>
      </c>
    </row>
    <row r="843" spans="1:3" x14ac:dyDescent="0.25">
      <c r="A843">
        <v>106</v>
      </c>
      <c r="B843" t="s">
        <v>20</v>
      </c>
      <c r="C843" t="s">
        <v>329</v>
      </c>
    </row>
    <row r="844" spans="1:3" x14ac:dyDescent="0.25">
      <c r="A844">
        <v>106</v>
      </c>
      <c r="B844" t="s">
        <v>21</v>
      </c>
      <c r="C844" t="s">
        <v>329</v>
      </c>
    </row>
    <row r="845" spans="1:3" x14ac:dyDescent="0.25">
      <c r="A845">
        <v>106</v>
      </c>
      <c r="B845" t="s">
        <v>22</v>
      </c>
      <c r="C845" t="s">
        <v>329</v>
      </c>
    </row>
    <row r="846" spans="1:3" x14ac:dyDescent="0.25">
      <c r="A846">
        <v>106</v>
      </c>
      <c r="B846" t="s">
        <v>23</v>
      </c>
      <c r="C846" t="s">
        <v>329</v>
      </c>
    </row>
    <row r="847" spans="1:3" x14ac:dyDescent="0.25">
      <c r="A847">
        <v>107</v>
      </c>
      <c r="B847" t="s">
        <v>16</v>
      </c>
      <c r="C847" t="s">
        <v>329</v>
      </c>
    </row>
    <row r="848" spans="1:3" x14ac:dyDescent="0.25">
      <c r="A848">
        <v>107</v>
      </c>
      <c r="B848" t="s">
        <v>17</v>
      </c>
      <c r="C848" t="s">
        <v>329</v>
      </c>
    </row>
    <row r="849" spans="1:3" x14ac:dyDescent="0.25">
      <c r="A849">
        <v>107</v>
      </c>
      <c r="B849" t="s">
        <v>18</v>
      </c>
      <c r="C849" t="s">
        <v>32</v>
      </c>
    </row>
    <row r="850" spans="1:3" x14ac:dyDescent="0.25">
      <c r="A850">
        <v>107</v>
      </c>
      <c r="B850" t="s">
        <v>19</v>
      </c>
      <c r="C850" t="s">
        <v>329</v>
      </c>
    </row>
    <row r="851" spans="1:3" x14ac:dyDescent="0.25">
      <c r="A851">
        <v>107</v>
      </c>
      <c r="B851" t="s">
        <v>20</v>
      </c>
      <c r="C851" t="s">
        <v>329</v>
      </c>
    </row>
    <row r="852" spans="1:3" x14ac:dyDescent="0.25">
      <c r="A852">
        <v>107</v>
      </c>
      <c r="B852" t="s">
        <v>21</v>
      </c>
      <c r="C852" t="s">
        <v>329</v>
      </c>
    </row>
    <row r="853" spans="1:3" x14ac:dyDescent="0.25">
      <c r="A853">
        <v>107</v>
      </c>
      <c r="B853" t="s">
        <v>22</v>
      </c>
      <c r="C853" t="s">
        <v>329</v>
      </c>
    </row>
    <row r="854" spans="1:3" x14ac:dyDescent="0.25">
      <c r="A854">
        <v>107</v>
      </c>
      <c r="B854" t="s">
        <v>23</v>
      </c>
      <c r="C854" t="s">
        <v>717</v>
      </c>
    </row>
    <row r="855" spans="1:3" x14ac:dyDescent="0.25">
      <c r="A855">
        <v>108</v>
      </c>
      <c r="B855" t="s">
        <v>16</v>
      </c>
      <c r="C855" t="s">
        <v>32</v>
      </c>
    </row>
    <row r="856" spans="1:3" x14ac:dyDescent="0.25">
      <c r="A856">
        <v>108</v>
      </c>
      <c r="B856" t="s">
        <v>17</v>
      </c>
      <c r="C856" t="s">
        <v>32</v>
      </c>
    </row>
    <row r="857" spans="1:3" x14ac:dyDescent="0.25">
      <c r="A857">
        <v>108</v>
      </c>
      <c r="B857" t="s">
        <v>18</v>
      </c>
      <c r="C857" t="s">
        <v>32</v>
      </c>
    </row>
    <row r="858" spans="1:3" x14ac:dyDescent="0.25">
      <c r="A858">
        <v>108</v>
      </c>
      <c r="B858" t="s">
        <v>19</v>
      </c>
      <c r="C858" t="s">
        <v>32</v>
      </c>
    </row>
    <row r="859" spans="1:3" x14ac:dyDescent="0.25">
      <c r="A859">
        <v>108</v>
      </c>
      <c r="B859" t="s">
        <v>20</v>
      </c>
      <c r="C859" t="s">
        <v>32</v>
      </c>
    </row>
    <row r="860" spans="1:3" x14ac:dyDescent="0.25">
      <c r="A860">
        <v>108</v>
      </c>
      <c r="B860" t="s">
        <v>21</v>
      </c>
      <c r="C860" t="s">
        <v>32</v>
      </c>
    </row>
    <row r="861" spans="1:3" x14ac:dyDescent="0.25">
      <c r="A861">
        <v>108</v>
      </c>
      <c r="B861" t="s">
        <v>22</v>
      </c>
      <c r="C861" t="s">
        <v>32</v>
      </c>
    </row>
    <row r="862" spans="1:3" x14ac:dyDescent="0.25">
      <c r="A862">
        <v>108</v>
      </c>
      <c r="B862" t="s">
        <v>23</v>
      </c>
      <c r="C862" t="s">
        <v>32</v>
      </c>
    </row>
    <row r="863" spans="1:3" x14ac:dyDescent="0.25">
      <c r="A863">
        <v>109</v>
      </c>
      <c r="B863" t="s">
        <v>16</v>
      </c>
      <c r="C863" t="s">
        <v>32</v>
      </c>
    </row>
    <row r="864" spans="1:3" x14ac:dyDescent="0.25">
      <c r="A864">
        <v>109</v>
      </c>
      <c r="B864" t="s">
        <v>17</v>
      </c>
      <c r="C864" t="s">
        <v>32</v>
      </c>
    </row>
    <row r="865" spans="1:3" x14ac:dyDescent="0.25">
      <c r="A865">
        <v>109</v>
      </c>
      <c r="B865" t="s">
        <v>18</v>
      </c>
      <c r="C865" t="s">
        <v>329</v>
      </c>
    </row>
    <row r="866" spans="1:3" x14ac:dyDescent="0.25">
      <c r="A866">
        <v>109</v>
      </c>
      <c r="B866" t="s">
        <v>19</v>
      </c>
      <c r="C866" t="s">
        <v>32</v>
      </c>
    </row>
    <row r="867" spans="1:3" x14ac:dyDescent="0.25">
      <c r="A867">
        <v>109</v>
      </c>
      <c r="B867" t="s">
        <v>20</v>
      </c>
      <c r="C867" t="s">
        <v>32</v>
      </c>
    </row>
    <row r="868" spans="1:3" x14ac:dyDescent="0.25">
      <c r="A868">
        <v>109</v>
      </c>
      <c r="B868" t="s">
        <v>21</v>
      </c>
      <c r="C868" t="s">
        <v>32</v>
      </c>
    </row>
    <row r="869" spans="1:3" x14ac:dyDescent="0.25">
      <c r="A869">
        <v>109</v>
      </c>
      <c r="B869" t="s">
        <v>22</v>
      </c>
      <c r="C869" t="s">
        <v>32</v>
      </c>
    </row>
    <row r="870" spans="1:3" x14ac:dyDescent="0.25">
      <c r="A870">
        <v>109</v>
      </c>
      <c r="B870" t="s">
        <v>23</v>
      </c>
      <c r="C870" t="s">
        <v>32</v>
      </c>
    </row>
    <row r="871" spans="1:3" x14ac:dyDescent="0.25">
      <c r="A871">
        <v>110</v>
      </c>
      <c r="B871" t="s">
        <v>16</v>
      </c>
      <c r="C871" t="s">
        <v>329</v>
      </c>
    </row>
    <row r="872" spans="1:3" x14ac:dyDescent="0.25">
      <c r="A872">
        <v>110</v>
      </c>
      <c r="B872" t="s">
        <v>17</v>
      </c>
      <c r="C872" t="s">
        <v>329</v>
      </c>
    </row>
    <row r="873" spans="1:3" x14ac:dyDescent="0.25">
      <c r="A873">
        <v>110</v>
      </c>
      <c r="B873" t="s">
        <v>18</v>
      </c>
      <c r="C873" t="s">
        <v>329</v>
      </c>
    </row>
    <row r="874" spans="1:3" x14ac:dyDescent="0.25">
      <c r="A874">
        <v>110</v>
      </c>
      <c r="B874" t="s">
        <v>19</v>
      </c>
      <c r="C874" t="s">
        <v>329</v>
      </c>
    </row>
    <row r="875" spans="1:3" x14ac:dyDescent="0.25">
      <c r="A875">
        <v>110</v>
      </c>
      <c r="B875" t="s">
        <v>20</v>
      </c>
      <c r="C875" t="s">
        <v>329</v>
      </c>
    </row>
    <row r="876" spans="1:3" x14ac:dyDescent="0.25">
      <c r="A876">
        <v>110</v>
      </c>
      <c r="B876" t="s">
        <v>21</v>
      </c>
      <c r="C876" t="s">
        <v>329</v>
      </c>
    </row>
    <row r="877" spans="1:3" x14ac:dyDescent="0.25">
      <c r="A877">
        <v>110</v>
      </c>
      <c r="B877" t="s">
        <v>22</v>
      </c>
      <c r="C877" t="s">
        <v>329</v>
      </c>
    </row>
    <row r="878" spans="1:3" x14ac:dyDescent="0.25">
      <c r="A878">
        <v>110</v>
      </c>
      <c r="B878" t="s">
        <v>23</v>
      </c>
      <c r="C878" t="s">
        <v>329</v>
      </c>
    </row>
    <row r="879" spans="1:3" x14ac:dyDescent="0.25">
      <c r="A879">
        <v>111</v>
      </c>
      <c r="B879" t="s">
        <v>16</v>
      </c>
      <c r="C879" t="s">
        <v>329</v>
      </c>
    </row>
    <row r="880" spans="1:3" x14ac:dyDescent="0.25">
      <c r="A880">
        <v>111</v>
      </c>
      <c r="B880" t="s">
        <v>17</v>
      </c>
      <c r="C880" t="s">
        <v>717</v>
      </c>
    </row>
    <row r="881" spans="1:3" x14ac:dyDescent="0.25">
      <c r="A881">
        <v>111</v>
      </c>
      <c r="B881" t="s">
        <v>18</v>
      </c>
      <c r="C881" t="s">
        <v>329</v>
      </c>
    </row>
    <row r="882" spans="1:3" x14ac:dyDescent="0.25">
      <c r="A882">
        <v>111</v>
      </c>
      <c r="B882" t="s">
        <v>19</v>
      </c>
      <c r="C882" t="s">
        <v>717</v>
      </c>
    </row>
    <row r="883" spans="1:3" x14ac:dyDescent="0.25">
      <c r="A883">
        <v>111</v>
      </c>
      <c r="B883" t="s">
        <v>20</v>
      </c>
      <c r="C883" t="s">
        <v>717</v>
      </c>
    </row>
    <row r="884" spans="1:3" x14ac:dyDescent="0.25">
      <c r="A884">
        <v>111</v>
      </c>
      <c r="B884" t="s">
        <v>21</v>
      </c>
      <c r="C884" t="s">
        <v>717</v>
      </c>
    </row>
    <row r="885" spans="1:3" x14ac:dyDescent="0.25">
      <c r="A885">
        <v>111</v>
      </c>
      <c r="B885" t="s">
        <v>22</v>
      </c>
      <c r="C885" t="s">
        <v>717</v>
      </c>
    </row>
    <row r="886" spans="1:3" x14ac:dyDescent="0.25">
      <c r="A886">
        <v>111</v>
      </c>
      <c r="B886" t="s">
        <v>23</v>
      </c>
      <c r="C886" t="s">
        <v>717</v>
      </c>
    </row>
    <row r="887" spans="1:3" x14ac:dyDescent="0.25">
      <c r="A887">
        <v>112</v>
      </c>
      <c r="B887" t="s">
        <v>16</v>
      </c>
      <c r="C887" t="s">
        <v>329</v>
      </c>
    </row>
    <row r="888" spans="1:3" x14ac:dyDescent="0.25">
      <c r="A888">
        <v>112</v>
      </c>
      <c r="B888" t="s">
        <v>17</v>
      </c>
      <c r="C888" t="s">
        <v>32</v>
      </c>
    </row>
    <row r="889" spans="1:3" x14ac:dyDescent="0.25">
      <c r="A889">
        <v>112</v>
      </c>
      <c r="B889" t="s">
        <v>18</v>
      </c>
      <c r="C889" t="s">
        <v>329</v>
      </c>
    </row>
    <row r="890" spans="1:3" x14ac:dyDescent="0.25">
      <c r="A890">
        <v>112</v>
      </c>
      <c r="B890" t="s">
        <v>19</v>
      </c>
      <c r="C890" t="s">
        <v>329</v>
      </c>
    </row>
    <row r="891" spans="1:3" x14ac:dyDescent="0.25">
      <c r="A891">
        <v>112</v>
      </c>
      <c r="B891" t="s">
        <v>20</v>
      </c>
      <c r="C891" t="s">
        <v>329</v>
      </c>
    </row>
    <row r="892" spans="1:3" x14ac:dyDescent="0.25">
      <c r="A892">
        <v>112</v>
      </c>
      <c r="B892" t="s">
        <v>21</v>
      </c>
      <c r="C892" t="s">
        <v>329</v>
      </c>
    </row>
    <row r="893" spans="1:3" x14ac:dyDescent="0.25">
      <c r="A893">
        <v>112</v>
      </c>
      <c r="B893" t="s">
        <v>22</v>
      </c>
      <c r="C893" t="s">
        <v>32</v>
      </c>
    </row>
    <row r="894" spans="1:3" x14ac:dyDescent="0.25">
      <c r="A894">
        <v>112</v>
      </c>
      <c r="B894" t="s">
        <v>23</v>
      </c>
      <c r="C894" t="s">
        <v>717</v>
      </c>
    </row>
    <row r="895" spans="1:3" x14ac:dyDescent="0.25">
      <c r="A895">
        <v>113</v>
      </c>
      <c r="B895" t="s">
        <v>16</v>
      </c>
      <c r="C895" t="s">
        <v>329</v>
      </c>
    </row>
    <row r="896" spans="1:3" x14ac:dyDescent="0.25">
      <c r="A896">
        <v>113</v>
      </c>
      <c r="B896" t="s">
        <v>17</v>
      </c>
      <c r="C896" t="s">
        <v>329</v>
      </c>
    </row>
    <row r="897" spans="1:3" x14ac:dyDescent="0.25">
      <c r="A897">
        <v>113</v>
      </c>
      <c r="B897" t="s">
        <v>18</v>
      </c>
      <c r="C897" t="s">
        <v>329</v>
      </c>
    </row>
    <row r="898" spans="1:3" x14ac:dyDescent="0.25">
      <c r="A898">
        <v>113</v>
      </c>
      <c r="B898" t="s">
        <v>19</v>
      </c>
      <c r="C898" t="s">
        <v>329</v>
      </c>
    </row>
    <row r="899" spans="1:3" x14ac:dyDescent="0.25">
      <c r="A899">
        <v>113</v>
      </c>
      <c r="B899" t="s">
        <v>20</v>
      </c>
      <c r="C899" t="s">
        <v>329</v>
      </c>
    </row>
    <row r="900" spans="1:3" x14ac:dyDescent="0.25">
      <c r="A900">
        <v>113</v>
      </c>
      <c r="B900" t="s">
        <v>21</v>
      </c>
      <c r="C900" t="s">
        <v>329</v>
      </c>
    </row>
    <row r="901" spans="1:3" x14ac:dyDescent="0.25">
      <c r="A901">
        <v>113</v>
      </c>
      <c r="B901" t="s">
        <v>22</v>
      </c>
      <c r="C901" t="s">
        <v>329</v>
      </c>
    </row>
    <row r="902" spans="1:3" x14ac:dyDescent="0.25">
      <c r="A902">
        <v>113</v>
      </c>
      <c r="B902" t="s">
        <v>23</v>
      </c>
      <c r="C902" t="s">
        <v>329</v>
      </c>
    </row>
    <row r="903" spans="1:3" x14ac:dyDescent="0.25">
      <c r="A903">
        <v>114</v>
      </c>
      <c r="B903" t="s">
        <v>16</v>
      </c>
      <c r="C903" t="s">
        <v>369</v>
      </c>
    </row>
    <row r="904" spans="1:3" x14ac:dyDescent="0.25">
      <c r="A904">
        <v>114</v>
      </c>
      <c r="B904" t="s">
        <v>17</v>
      </c>
      <c r="C904" t="s">
        <v>369</v>
      </c>
    </row>
    <row r="905" spans="1:3" x14ac:dyDescent="0.25">
      <c r="A905">
        <v>114</v>
      </c>
      <c r="B905" t="s">
        <v>18</v>
      </c>
      <c r="C905" t="s">
        <v>369</v>
      </c>
    </row>
    <row r="906" spans="1:3" x14ac:dyDescent="0.25">
      <c r="A906">
        <v>114</v>
      </c>
      <c r="B906" t="s">
        <v>19</v>
      </c>
      <c r="C906" t="s">
        <v>369</v>
      </c>
    </row>
    <row r="907" spans="1:3" x14ac:dyDescent="0.25">
      <c r="A907">
        <v>114</v>
      </c>
      <c r="B907" t="s">
        <v>20</v>
      </c>
      <c r="C907" t="s">
        <v>369</v>
      </c>
    </row>
    <row r="908" spans="1:3" x14ac:dyDescent="0.25">
      <c r="A908">
        <v>114</v>
      </c>
      <c r="B908" t="s">
        <v>21</v>
      </c>
      <c r="C908" t="s">
        <v>369</v>
      </c>
    </row>
    <row r="909" spans="1:3" x14ac:dyDescent="0.25">
      <c r="A909">
        <v>114</v>
      </c>
      <c r="B909" t="s">
        <v>22</v>
      </c>
      <c r="C909" t="s">
        <v>369</v>
      </c>
    </row>
    <row r="910" spans="1:3" x14ac:dyDescent="0.25">
      <c r="A910">
        <v>114</v>
      </c>
      <c r="B910" t="s">
        <v>23</v>
      </c>
      <c r="C910" t="s">
        <v>369</v>
      </c>
    </row>
    <row r="911" spans="1:3" x14ac:dyDescent="0.25">
      <c r="A911">
        <v>115</v>
      </c>
      <c r="B911" t="s">
        <v>16</v>
      </c>
      <c r="C911" t="s">
        <v>329</v>
      </c>
    </row>
    <row r="912" spans="1:3" x14ac:dyDescent="0.25">
      <c r="A912">
        <v>115</v>
      </c>
      <c r="B912" t="s">
        <v>17</v>
      </c>
      <c r="C912" t="s">
        <v>329</v>
      </c>
    </row>
    <row r="913" spans="1:3" x14ac:dyDescent="0.25">
      <c r="A913">
        <v>115</v>
      </c>
      <c r="B913" t="s">
        <v>18</v>
      </c>
      <c r="C913" t="s">
        <v>329</v>
      </c>
    </row>
    <row r="914" spans="1:3" x14ac:dyDescent="0.25">
      <c r="A914">
        <v>115</v>
      </c>
      <c r="B914" t="s">
        <v>19</v>
      </c>
      <c r="C914" t="s">
        <v>329</v>
      </c>
    </row>
    <row r="915" spans="1:3" x14ac:dyDescent="0.25">
      <c r="A915">
        <v>115</v>
      </c>
      <c r="B915" t="s">
        <v>20</v>
      </c>
      <c r="C915" t="s">
        <v>329</v>
      </c>
    </row>
    <row r="916" spans="1:3" x14ac:dyDescent="0.25">
      <c r="A916">
        <v>115</v>
      </c>
      <c r="B916" t="s">
        <v>21</v>
      </c>
      <c r="C916" t="s">
        <v>329</v>
      </c>
    </row>
    <row r="917" spans="1:3" x14ac:dyDescent="0.25">
      <c r="A917">
        <v>115</v>
      </c>
      <c r="B917" t="s">
        <v>22</v>
      </c>
      <c r="C917" t="s">
        <v>329</v>
      </c>
    </row>
    <row r="918" spans="1:3" x14ac:dyDescent="0.25">
      <c r="A918">
        <v>115</v>
      </c>
      <c r="B918" t="s">
        <v>23</v>
      </c>
      <c r="C918" t="s">
        <v>329</v>
      </c>
    </row>
    <row r="919" spans="1:3" x14ac:dyDescent="0.25">
      <c r="A919">
        <v>116</v>
      </c>
      <c r="B919" t="s">
        <v>16</v>
      </c>
      <c r="C919" t="s">
        <v>329</v>
      </c>
    </row>
    <row r="920" spans="1:3" x14ac:dyDescent="0.25">
      <c r="A920">
        <v>116</v>
      </c>
      <c r="B920" t="s">
        <v>17</v>
      </c>
      <c r="C920" t="s">
        <v>329</v>
      </c>
    </row>
    <row r="921" spans="1:3" x14ac:dyDescent="0.25">
      <c r="A921">
        <v>116</v>
      </c>
      <c r="B921" t="s">
        <v>18</v>
      </c>
      <c r="C921" t="s">
        <v>329</v>
      </c>
    </row>
    <row r="922" spans="1:3" x14ac:dyDescent="0.25">
      <c r="A922">
        <v>116</v>
      </c>
      <c r="B922" t="s">
        <v>19</v>
      </c>
      <c r="C922" t="s">
        <v>329</v>
      </c>
    </row>
    <row r="923" spans="1:3" x14ac:dyDescent="0.25">
      <c r="A923">
        <v>116</v>
      </c>
      <c r="B923" t="s">
        <v>20</v>
      </c>
      <c r="C923" t="s">
        <v>329</v>
      </c>
    </row>
    <row r="924" spans="1:3" x14ac:dyDescent="0.25">
      <c r="A924">
        <v>116</v>
      </c>
      <c r="B924" t="s">
        <v>21</v>
      </c>
      <c r="C924" t="s">
        <v>329</v>
      </c>
    </row>
    <row r="925" spans="1:3" x14ac:dyDescent="0.25">
      <c r="A925">
        <v>116</v>
      </c>
      <c r="B925" t="s">
        <v>22</v>
      </c>
      <c r="C925" t="s">
        <v>329</v>
      </c>
    </row>
    <row r="926" spans="1:3" x14ac:dyDescent="0.25">
      <c r="A926">
        <v>116</v>
      </c>
      <c r="B926" t="s">
        <v>23</v>
      </c>
      <c r="C926" t="s">
        <v>329</v>
      </c>
    </row>
    <row r="927" spans="1:3" x14ac:dyDescent="0.25">
      <c r="A927">
        <v>117</v>
      </c>
      <c r="B927" t="s">
        <v>16</v>
      </c>
      <c r="C927" t="s">
        <v>329</v>
      </c>
    </row>
    <row r="928" spans="1:3" x14ac:dyDescent="0.25">
      <c r="A928">
        <v>117</v>
      </c>
      <c r="B928" t="s">
        <v>17</v>
      </c>
      <c r="C928" t="s">
        <v>329</v>
      </c>
    </row>
    <row r="929" spans="1:3" x14ac:dyDescent="0.25">
      <c r="A929">
        <v>117</v>
      </c>
      <c r="B929" t="s">
        <v>18</v>
      </c>
      <c r="C929" t="s">
        <v>329</v>
      </c>
    </row>
    <row r="930" spans="1:3" x14ac:dyDescent="0.25">
      <c r="A930">
        <v>117</v>
      </c>
      <c r="B930" t="s">
        <v>19</v>
      </c>
      <c r="C930" t="s">
        <v>329</v>
      </c>
    </row>
    <row r="931" spans="1:3" x14ac:dyDescent="0.25">
      <c r="A931">
        <v>117</v>
      </c>
      <c r="B931" t="s">
        <v>20</v>
      </c>
      <c r="C931" t="s">
        <v>329</v>
      </c>
    </row>
    <row r="932" spans="1:3" x14ac:dyDescent="0.25">
      <c r="A932">
        <v>117</v>
      </c>
      <c r="B932" t="s">
        <v>21</v>
      </c>
      <c r="C932" t="s">
        <v>329</v>
      </c>
    </row>
    <row r="933" spans="1:3" x14ac:dyDescent="0.25">
      <c r="A933">
        <v>117</v>
      </c>
      <c r="B933" t="s">
        <v>22</v>
      </c>
      <c r="C933" t="s">
        <v>329</v>
      </c>
    </row>
    <row r="934" spans="1:3" x14ac:dyDescent="0.25">
      <c r="A934">
        <v>117</v>
      </c>
      <c r="B934" t="s">
        <v>23</v>
      </c>
      <c r="C934" t="s">
        <v>329</v>
      </c>
    </row>
    <row r="935" spans="1:3" x14ac:dyDescent="0.25">
      <c r="A935">
        <v>118</v>
      </c>
      <c r="B935" t="s">
        <v>16</v>
      </c>
      <c r="C935" t="s">
        <v>329</v>
      </c>
    </row>
    <row r="936" spans="1:3" x14ac:dyDescent="0.25">
      <c r="A936">
        <v>118</v>
      </c>
      <c r="B936" t="s">
        <v>17</v>
      </c>
      <c r="C936" t="s">
        <v>329</v>
      </c>
    </row>
    <row r="937" spans="1:3" x14ac:dyDescent="0.25">
      <c r="A937">
        <v>118</v>
      </c>
      <c r="B937" t="s">
        <v>18</v>
      </c>
      <c r="C937" t="s">
        <v>329</v>
      </c>
    </row>
    <row r="938" spans="1:3" x14ac:dyDescent="0.25">
      <c r="A938">
        <v>118</v>
      </c>
      <c r="B938" t="s">
        <v>19</v>
      </c>
      <c r="C938" t="s">
        <v>329</v>
      </c>
    </row>
    <row r="939" spans="1:3" x14ac:dyDescent="0.25">
      <c r="A939">
        <v>118</v>
      </c>
      <c r="B939" t="s">
        <v>20</v>
      </c>
      <c r="C939" t="s">
        <v>329</v>
      </c>
    </row>
    <row r="940" spans="1:3" x14ac:dyDescent="0.25">
      <c r="A940">
        <v>118</v>
      </c>
      <c r="B940" t="s">
        <v>21</v>
      </c>
      <c r="C940" t="s">
        <v>329</v>
      </c>
    </row>
    <row r="941" spans="1:3" x14ac:dyDescent="0.25">
      <c r="A941">
        <v>118</v>
      </c>
      <c r="B941" t="s">
        <v>22</v>
      </c>
      <c r="C941" t="s">
        <v>329</v>
      </c>
    </row>
    <row r="942" spans="1:3" x14ac:dyDescent="0.25">
      <c r="A942">
        <v>118</v>
      </c>
      <c r="B942" t="s">
        <v>23</v>
      </c>
      <c r="C942" t="s">
        <v>329</v>
      </c>
    </row>
    <row r="943" spans="1:3" x14ac:dyDescent="0.25">
      <c r="A943">
        <v>119</v>
      </c>
      <c r="B943" t="s">
        <v>16</v>
      </c>
      <c r="C943" t="s">
        <v>32</v>
      </c>
    </row>
    <row r="944" spans="1:3" x14ac:dyDescent="0.25">
      <c r="A944">
        <v>119</v>
      </c>
      <c r="B944" t="s">
        <v>17</v>
      </c>
      <c r="C944" t="s">
        <v>32</v>
      </c>
    </row>
    <row r="945" spans="1:3" x14ac:dyDescent="0.25">
      <c r="A945">
        <v>119</v>
      </c>
      <c r="B945" t="s">
        <v>18</v>
      </c>
      <c r="C945" t="s">
        <v>32</v>
      </c>
    </row>
    <row r="946" spans="1:3" x14ac:dyDescent="0.25">
      <c r="A946">
        <v>119</v>
      </c>
      <c r="B946" t="s">
        <v>19</v>
      </c>
      <c r="C946" t="s">
        <v>32</v>
      </c>
    </row>
    <row r="947" spans="1:3" x14ac:dyDescent="0.25">
      <c r="A947">
        <v>119</v>
      </c>
      <c r="B947" t="s">
        <v>20</v>
      </c>
      <c r="C947" t="s">
        <v>32</v>
      </c>
    </row>
    <row r="948" spans="1:3" x14ac:dyDescent="0.25">
      <c r="A948">
        <v>119</v>
      </c>
      <c r="B948" t="s">
        <v>21</v>
      </c>
      <c r="C948" t="s">
        <v>32</v>
      </c>
    </row>
    <row r="949" spans="1:3" x14ac:dyDescent="0.25">
      <c r="A949">
        <v>119</v>
      </c>
      <c r="B949" t="s">
        <v>22</v>
      </c>
      <c r="C949" t="s">
        <v>32</v>
      </c>
    </row>
    <row r="950" spans="1:3" x14ac:dyDescent="0.25">
      <c r="A950">
        <v>119</v>
      </c>
      <c r="B950" t="s">
        <v>23</v>
      </c>
      <c r="C950" t="s">
        <v>32</v>
      </c>
    </row>
    <row r="951" spans="1:3" x14ac:dyDescent="0.25">
      <c r="A951">
        <v>120</v>
      </c>
      <c r="B951" t="s">
        <v>16</v>
      </c>
      <c r="C951" t="s">
        <v>32</v>
      </c>
    </row>
    <row r="952" spans="1:3" x14ac:dyDescent="0.25">
      <c r="A952">
        <v>120</v>
      </c>
      <c r="B952" t="s">
        <v>17</v>
      </c>
      <c r="C952" t="s">
        <v>32</v>
      </c>
    </row>
    <row r="953" spans="1:3" x14ac:dyDescent="0.25">
      <c r="A953">
        <v>120</v>
      </c>
      <c r="B953" t="s">
        <v>18</v>
      </c>
      <c r="C953" t="s">
        <v>32</v>
      </c>
    </row>
    <row r="954" spans="1:3" x14ac:dyDescent="0.25">
      <c r="A954">
        <v>120</v>
      </c>
      <c r="B954" t="s">
        <v>19</v>
      </c>
      <c r="C954" t="s">
        <v>32</v>
      </c>
    </row>
    <row r="955" spans="1:3" x14ac:dyDescent="0.25">
      <c r="A955">
        <v>120</v>
      </c>
      <c r="B955" t="s">
        <v>20</v>
      </c>
      <c r="C955" t="s">
        <v>32</v>
      </c>
    </row>
    <row r="956" spans="1:3" x14ac:dyDescent="0.25">
      <c r="A956">
        <v>120</v>
      </c>
      <c r="B956" t="s">
        <v>21</v>
      </c>
      <c r="C956" t="s">
        <v>717</v>
      </c>
    </row>
    <row r="957" spans="1:3" x14ac:dyDescent="0.25">
      <c r="A957">
        <v>120</v>
      </c>
      <c r="B957" t="s">
        <v>22</v>
      </c>
      <c r="C957" t="s">
        <v>32</v>
      </c>
    </row>
    <row r="958" spans="1:3" x14ac:dyDescent="0.25">
      <c r="A958">
        <v>120</v>
      </c>
      <c r="B958" t="s">
        <v>23</v>
      </c>
      <c r="C958" t="s">
        <v>717</v>
      </c>
    </row>
    <row r="959" spans="1:3" x14ac:dyDescent="0.25">
      <c r="A959">
        <v>121</v>
      </c>
      <c r="B959" t="s">
        <v>16</v>
      </c>
      <c r="C959" t="s">
        <v>369</v>
      </c>
    </row>
    <row r="960" spans="1:3" x14ac:dyDescent="0.25">
      <c r="A960">
        <v>121</v>
      </c>
      <c r="B960" t="s">
        <v>17</v>
      </c>
      <c r="C960" t="s">
        <v>369</v>
      </c>
    </row>
    <row r="961" spans="1:3" x14ac:dyDescent="0.25">
      <c r="A961">
        <v>121</v>
      </c>
      <c r="B961" t="s">
        <v>18</v>
      </c>
      <c r="C961" t="s">
        <v>329</v>
      </c>
    </row>
    <row r="962" spans="1:3" x14ac:dyDescent="0.25">
      <c r="A962">
        <v>121</v>
      </c>
      <c r="B962" t="s">
        <v>19</v>
      </c>
      <c r="C962" t="s">
        <v>369</v>
      </c>
    </row>
    <row r="963" spans="1:3" x14ac:dyDescent="0.25">
      <c r="A963">
        <v>121</v>
      </c>
      <c r="B963" t="s">
        <v>20</v>
      </c>
      <c r="C963" t="s">
        <v>369</v>
      </c>
    </row>
    <row r="964" spans="1:3" x14ac:dyDescent="0.25">
      <c r="A964">
        <v>121</v>
      </c>
      <c r="B964" t="s">
        <v>21</v>
      </c>
      <c r="C964" t="s">
        <v>369</v>
      </c>
    </row>
    <row r="965" spans="1:3" x14ac:dyDescent="0.25">
      <c r="A965">
        <v>121</v>
      </c>
      <c r="B965" t="s">
        <v>22</v>
      </c>
      <c r="C965" t="s">
        <v>369</v>
      </c>
    </row>
    <row r="966" spans="1:3" x14ac:dyDescent="0.25">
      <c r="A966">
        <v>121</v>
      </c>
      <c r="B966" t="s">
        <v>23</v>
      </c>
      <c r="C966" t="s">
        <v>369</v>
      </c>
    </row>
    <row r="967" spans="1:3" x14ac:dyDescent="0.25">
      <c r="A967">
        <v>122</v>
      </c>
      <c r="B967" t="s">
        <v>16</v>
      </c>
      <c r="C967" t="s">
        <v>32</v>
      </c>
    </row>
    <row r="968" spans="1:3" x14ac:dyDescent="0.25">
      <c r="A968">
        <v>122</v>
      </c>
      <c r="B968" t="s">
        <v>17</v>
      </c>
      <c r="C968" t="s">
        <v>329</v>
      </c>
    </row>
    <row r="969" spans="1:3" x14ac:dyDescent="0.25">
      <c r="A969">
        <v>122</v>
      </c>
      <c r="B969" t="s">
        <v>18</v>
      </c>
      <c r="C969" t="s">
        <v>32</v>
      </c>
    </row>
    <row r="970" spans="1:3" x14ac:dyDescent="0.25">
      <c r="A970">
        <v>122</v>
      </c>
      <c r="B970" t="s">
        <v>19</v>
      </c>
      <c r="C970" t="s">
        <v>32</v>
      </c>
    </row>
    <row r="971" spans="1:3" x14ac:dyDescent="0.25">
      <c r="A971">
        <v>122</v>
      </c>
      <c r="B971" t="s">
        <v>20</v>
      </c>
      <c r="C971" t="s">
        <v>32</v>
      </c>
    </row>
    <row r="972" spans="1:3" x14ac:dyDescent="0.25">
      <c r="A972">
        <v>122</v>
      </c>
      <c r="B972" t="s">
        <v>21</v>
      </c>
      <c r="C972" t="s">
        <v>32</v>
      </c>
    </row>
    <row r="973" spans="1:3" x14ac:dyDescent="0.25">
      <c r="A973">
        <v>122</v>
      </c>
      <c r="B973" t="s">
        <v>22</v>
      </c>
      <c r="C973" t="s">
        <v>32</v>
      </c>
    </row>
    <row r="974" spans="1:3" x14ac:dyDescent="0.25">
      <c r="A974">
        <v>122</v>
      </c>
      <c r="B974" t="s">
        <v>23</v>
      </c>
      <c r="C974" t="s">
        <v>32</v>
      </c>
    </row>
    <row r="975" spans="1:3" x14ac:dyDescent="0.25">
      <c r="A975">
        <v>123</v>
      </c>
      <c r="B975" t="s">
        <v>16</v>
      </c>
      <c r="C975" t="s">
        <v>329</v>
      </c>
    </row>
    <row r="976" spans="1:3" x14ac:dyDescent="0.25">
      <c r="A976">
        <v>123</v>
      </c>
      <c r="B976" t="s">
        <v>17</v>
      </c>
      <c r="C976" t="s">
        <v>329</v>
      </c>
    </row>
    <row r="977" spans="1:3" x14ac:dyDescent="0.25">
      <c r="A977">
        <v>123</v>
      </c>
      <c r="B977" t="s">
        <v>18</v>
      </c>
      <c r="C977" t="s">
        <v>329</v>
      </c>
    </row>
    <row r="978" spans="1:3" x14ac:dyDescent="0.25">
      <c r="A978">
        <v>123</v>
      </c>
      <c r="B978" t="s">
        <v>19</v>
      </c>
      <c r="C978" t="s">
        <v>329</v>
      </c>
    </row>
    <row r="979" spans="1:3" x14ac:dyDescent="0.25">
      <c r="A979">
        <v>123</v>
      </c>
      <c r="B979" t="s">
        <v>20</v>
      </c>
      <c r="C979" t="s">
        <v>329</v>
      </c>
    </row>
    <row r="980" spans="1:3" x14ac:dyDescent="0.25">
      <c r="A980">
        <v>123</v>
      </c>
      <c r="B980" t="s">
        <v>21</v>
      </c>
      <c r="C980" t="s">
        <v>329</v>
      </c>
    </row>
    <row r="981" spans="1:3" x14ac:dyDescent="0.25">
      <c r="A981">
        <v>123</v>
      </c>
      <c r="B981" t="s">
        <v>22</v>
      </c>
      <c r="C981" t="s">
        <v>329</v>
      </c>
    </row>
    <row r="982" spans="1:3" x14ac:dyDescent="0.25">
      <c r="A982">
        <v>123</v>
      </c>
      <c r="B982" t="s">
        <v>23</v>
      </c>
      <c r="C982" t="s">
        <v>329</v>
      </c>
    </row>
    <row r="983" spans="1:3" x14ac:dyDescent="0.25">
      <c r="A983">
        <v>124</v>
      </c>
      <c r="B983" t="s">
        <v>16</v>
      </c>
      <c r="C983" t="s">
        <v>329</v>
      </c>
    </row>
    <row r="984" spans="1:3" x14ac:dyDescent="0.25">
      <c r="A984">
        <v>124</v>
      </c>
      <c r="B984" t="s">
        <v>17</v>
      </c>
      <c r="C984" t="s">
        <v>329</v>
      </c>
    </row>
    <row r="985" spans="1:3" x14ac:dyDescent="0.25">
      <c r="A985">
        <v>124</v>
      </c>
      <c r="B985" t="s">
        <v>18</v>
      </c>
      <c r="C985" t="s">
        <v>329</v>
      </c>
    </row>
    <row r="986" spans="1:3" x14ac:dyDescent="0.25">
      <c r="A986">
        <v>124</v>
      </c>
      <c r="B986" t="s">
        <v>19</v>
      </c>
      <c r="C986" t="s">
        <v>329</v>
      </c>
    </row>
    <row r="987" spans="1:3" x14ac:dyDescent="0.25">
      <c r="A987">
        <v>124</v>
      </c>
      <c r="B987" t="s">
        <v>20</v>
      </c>
      <c r="C987" t="s">
        <v>329</v>
      </c>
    </row>
    <row r="988" spans="1:3" x14ac:dyDescent="0.25">
      <c r="A988">
        <v>124</v>
      </c>
      <c r="B988" t="s">
        <v>21</v>
      </c>
      <c r="C988" t="s">
        <v>329</v>
      </c>
    </row>
    <row r="989" spans="1:3" x14ac:dyDescent="0.25">
      <c r="A989">
        <v>124</v>
      </c>
      <c r="B989" t="s">
        <v>22</v>
      </c>
      <c r="C989" t="s">
        <v>717</v>
      </c>
    </row>
    <row r="990" spans="1:3" x14ac:dyDescent="0.25">
      <c r="A990">
        <v>124</v>
      </c>
      <c r="B990" t="s">
        <v>23</v>
      </c>
      <c r="C990" t="s">
        <v>717</v>
      </c>
    </row>
    <row r="991" spans="1:3" x14ac:dyDescent="0.25">
      <c r="A991">
        <v>125</v>
      </c>
      <c r="B991" t="s">
        <v>16</v>
      </c>
      <c r="C991" t="s">
        <v>329</v>
      </c>
    </row>
    <row r="992" spans="1:3" x14ac:dyDescent="0.25">
      <c r="A992">
        <v>125</v>
      </c>
      <c r="B992" t="s">
        <v>17</v>
      </c>
      <c r="C992" t="s">
        <v>329</v>
      </c>
    </row>
    <row r="993" spans="1:3" x14ac:dyDescent="0.25">
      <c r="A993">
        <v>125</v>
      </c>
      <c r="B993" t="s">
        <v>18</v>
      </c>
      <c r="C993" t="s">
        <v>329</v>
      </c>
    </row>
    <row r="994" spans="1:3" x14ac:dyDescent="0.25">
      <c r="A994">
        <v>125</v>
      </c>
      <c r="B994" t="s">
        <v>19</v>
      </c>
      <c r="C994" t="s">
        <v>329</v>
      </c>
    </row>
    <row r="995" spans="1:3" x14ac:dyDescent="0.25">
      <c r="A995">
        <v>125</v>
      </c>
      <c r="B995" t="s">
        <v>20</v>
      </c>
      <c r="C995" t="s">
        <v>329</v>
      </c>
    </row>
    <row r="996" spans="1:3" x14ac:dyDescent="0.25">
      <c r="A996">
        <v>125</v>
      </c>
      <c r="B996" t="s">
        <v>21</v>
      </c>
      <c r="C996" t="s">
        <v>329</v>
      </c>
    </row>
    <row r="997" spans="1:3" x14ac:dyDescent="0.25">
      <c r="A997">
        <v>125</v>
      </c>
      <c r="B997" t="s">
        <v>22</v>
      </c>
      <c r="C997" t="s">
        <v>329</v>
      </c>
    </row>
    <row r="998" spans="1:3" x14ac:dyDescent="0.25">
      <c r="A998">
        <v>125</v>
      </c>
      <c r="B998" t="s">
        <v>23</v>
      </c>
      <c r="C998" t="s">
        <v>329</v>
      </c>
    </row>
    <row r="999" spans="1:3" x14ac:dyDescent="0.25">
      <c r="A999">
        <v>126</v>
      </c>
      <c r="B999" t="s">
        <v>16</v>
      </c>
      <c r="C999" t="s">
        <v>32</v>
      </c>
    </row>
    <row r="1000" spans="1:3" x14ac:dyDescent="0.25">
      <c r="A1000">
        <v>126</v>
      </c>
      <c r="B1000" t="s">
        <v>17</v>
      </c>
      <c r="C1000" t="s">
        <v>32</v>
      </c>
    </row>
    <row r="1001" spans="1:3" x14ac:dyDescent="0.25">
      <c r="A1001">
        <v>126</v>
      </c>
      <c r="B1001" t="s">
        <v>18</v>
      </c>
      <c r="C1001" t="s">
        <v>32</v>
      </c>
    </row>
    <row r="1002" spans="1:3" x14ac:dyDescent="0.25">
      <c r="A1002">
        <v>126</v>
      </c>
      <c r="B1002" t="s">
        <v>19</v>
      </c>
      <c r="C1002" t="s">
        <v>32</v>
      </c>
    </row>
    <row r="1003" spans="1:3" x14ac:dyDescent="0.25">
      <c r="A1003">
        <v>126</v>
      </c>
      <c r="B1003" t="s">
        <v>20</v>
      </c>
      <c r="C1003" t="s">
        <v>32</v>
      </c>
    </row>
    <row r="1004" spans="1:3" x14ac:dyDescent="0.25">
      <c r="A1004">
        <v>126</v>
      </c>
      <c r="B1004" t="s">
        <v>21</v>
      </c>
      <c r="C1004" t="s">
        <v>717</v>
      </c>
    </row>
    <row r="1005" spans="1:3" x14ac:dyDescent="0.25">
      <c r="A1005">
        <v>126</v>
      </c>
      <c r="B1005" t="s">
        <v>22</v>
      </c>
      <c r="C1005" t="s">
        <v>717</v>
      </c>
    </row>
    <row r="1006" spans="1:3" x14ac:dyDescent="0.25">
      <c r="A1006">
        <v>126</v>
      </c>
      <c r="B1006" t="s">
        <v>23</v>
      </c>
      <c r="C1006" t="s">
        <v>717</v>
      </c>
    </row>
    <row r="1007" spans="1:3" x14ac:dyDescent="0.25">
      <c r="A1007">
        <v>127</v>
      </c>
      <c r="B1007" t="s">
        <v>16</v>
      </c>
      <c r="C1007" t="s">
        <v>32</v>
      </c>
    </row>
    <row r="1008" spans="1:3" x14ac:dyDescent="0.25">
      <c r="A1008">
        <v>127</v>
      </c>
      <c r="B1008" t="s">
        <v>17</v>
      </c>
      <c r="C1008" t="s">
        <v>32</v>
      </c>
    </row>
    <row r="1009" spans="1:3" x14ac:dyDescent="0.25">
      <c r="A1009">
        <v>127</v>
      </c>
      <c r="B1009" t="s">
        <v>18</v>
      </c>
      <c r="C1009" t="s">
        <v>32</v>
      </c>
    </row>
    <row r="1010" spans="1:3" x14ac:dyDescent="0.25">
      <c r="A1010">
        <v>127</v>
      </c>
      <c r="B1010" t="s">
        <v>19</v>
      </c>
      <c r="C1010" t="s">
        <v>32</v>
      </c>
    </row>
    <row r="1011" spans="1:3" x14ac:dyDescent="0.25">
      <c r="A1011">
        <v>127</v>
      </c>
      <c r="B1011" t="s">
        <v>20</v>
      </c>
      <c r="C1011" t="s">
        <v>32</v>
      </c>
    </row>
    <row r="1012" spans="1:3" x14ac:dyDescent="0.25">
      <c r="A1012">
        <v>127</v>
      </c>
      <c r="B1012" t="s">
        <v>21</v>
      </c>
      <c r="C1012" t="s">
        <v>32</v>
      </c>
    </row>
    <row r="1013" spans="1:3" x14ac:dyDescent="0.25">
      <c r="A1013">
        <v>127</v>
      </c>
      <c r="B1013" t="s">
        <v>22</v>
      </c>
      <c r="C1013" t="s">
        <v>369</v>
      </c>
    </row>
    <row r="1014" spans="1:3" x14ac:dyDescent="0.25">
      <c r="A1014">
        <v>127</v>
      </c>
      <c r="B1014" t="s">
        <v>23</v>
      </c>
      <c r="C1014" t="s">
        <v>369</v>
      </c>
    </row>
    <row r="1015" spans="1:3" x14ac:dyDescent="0.25">
      <c r="A1015">
        <v>128</v>
      </c>
      <c r="B1015" t="s">
        <v>16</v>
      </c>
      <c r="C1015" t="s">
        <v>369</v>
      </c>
    </row>
    <row r="1016" spans="1:3" x14ac:dyDescent="0.25">
      <c r="A1016">
        <v>128</v>
      </c>
      <c r="B1016" t="s">
        <v>17</v>
      </c>
      <c r="C1016" t="s">
        <v>369</v>
      </c>
    </row>
    <row r="1017" spans="1:3" x14ac:dyDescent="0.25">
      <c r="A1017">
        <v>128</v>
      </c>
      <c r="B1017" t="s">
        <v>18</v>
      </c>
      <c r="C1017" t="s">
        <v>369</v>
      </c>
    </row>
    <row r="1018" spans="1:3" x14ac:dyDescent="0.25">
      <c r="A1018">
        <v>128</v>
      </c>
      <c r="B1018" t="s">
        <v>19</v>
      </c>
      <c r="C1018" t="s">
        <v>329</v>
      </c>
    </row>
    <row r="1019" spans="1:3" x14ac:dyDescent="0.25">
      <c r="A1019">
        <v>128</v>
      </c>
      <c r="B1019" t="s">
        <v>20</v>
      </c>
      <c r="C1019" t="s">
        <v>369</v>
      </c>
    </row>
    <row r="1020" spans="1:3" x14ac:dyDescent="0.25">
      <c r="A1020">
        <v>128</v>
      </c>
      <c r="B1020" t="s">
        <v>21</v>
      </c>
      <c r="C1020" t="s">
        <v>369</v>
      </c>
    </row>
    <row r="1021" spans="1:3" x14ac:dyDescent="0.25">
      <c r="A1021">
        <v>128</v>
      </c>
      <c r="B1021" t="s">
        <v>22</v>
      </c>
      <c r="C1021" t="s">
        <v>369</v>
      </c>
    </row>
    <row r="1022" spans="1:3" x14ac:dyDescent="0.25">
      <c r="A1022">
        <v>128</v>
      </c>
      <c r="B1022" t="s">
        <v>23</v>
      </c>
      <c r="C1022" t="s">
        <v>369</v>
      </c>
    </row>
    <row r="1023" spans="1:3" x14ac:dyDescent="0.25">
      <c r="A1023">
        <v>129</v>
      </c>
      <c r="B1023" t="s">
        <v>16</v>
      </c>
      <c r="C1023" t="s">
        <v>717</v>
      </c>
    </row>
    <row r="1024" spans="1:3" x14ac:dyDescent="0.25">
      <c r="A1024">
        <v>129</v>
      </c>
      <c r="B1024" t="s">
        <v>17</v>
      </c>
      <c r="C1024" t="s">
        <v>329</v>
      </c>
    </row>
    <row r="1025" spans="1:3" x14ac:dyDescent="0.25">
      <c r="A1025">
        <v>129</v>
      </c>
      <c r="B1025" t="s">
        <v>18</v>
      </c>
      <c r="C1025" t="s">
        <v>32</v>
      </c>
    </row>
    <row r="1026" spans="1:3" x14ac:dyDescent="0.25">
      <c r="A1026">
        <v>129</v>
      </c>
      <c r="B1026" t="s">
        <v>19</v>
      </c>
      <c r="C1026" t="s">
        <v>329</v>
      </c>
    </row>
    <row r="1027" spans="1:3" x14ac:dyDescent="0.25">
      <c r="A1027">
        <v>129</v>
      </c>
      <c r="B1027" t="s">
        <v>20</v>
      </c>
      <c r="C1027" t="s">
        <v>717</v>
      </c>
    </row>
    <row r="1028" spans="1:3" x14ac:dyDescent="0.25">
      <c r="A1028">
        <v>129</v>
      </c>
      <c r="B1028" t="s">
        <v>21</v>
      </c>
      <c r="C1028" t="s">
        <v>329</v>
      </c>
    </row>
    <row r="1029" spans="1:3" x14ac:dyDescent="0.25">
      <c r="A1029">
        <v>129</v>
      </c>
      <c r="B1029" t="s">
        <v>22</v>
      </c>
      <c r="C1029" t="s">
        <v>717</v>
      </c>
    </row>
    <row r="1030" spans="1:3" x14ac:dyDescent="0.25">
      <c r="A1030">
        <v>129</v>
      </c>
      <c r="B1030" t="s">
        <v>23</v>
      </c>
      <c r="C1030" t="s">
        <v>717</v>
      </c>
    </row>
    <row r="1031" spans="1:3" x14ac:dyDescent="0.25">
      <c r="A1031">
        <v>130</v>
      </c>
      <c r="B1031" t="s">
        <v>16</v>
      </c>
      <c r="C1031" t="s">
        <v>32</v>
      </c>
    </row>
    <row r="1032" spans="1:3" x14ac:dyDescent="0.25">
      <c r="A1032">
        <v>130</v>
      </c>
      <c r="B1032" t="s">
        <v>17</v>
      </c>
      <c r="C1032" t="s">
        <v>32</v>
      </c>
    </row>
    <row r="1033" spans="1:3" x14ac:dyDescent="0.25">
      <c r="A1033">
        <v>130</v>
      </c>
      <c r="B1033" t="s">
        <v>18</v>
      </c>
      <c r="C1033" t="s">
        <v>32</v>
      </c>
    </row>
    <row r="1034" spans="1:3" x14ac:dyDescent="0.25">
      <c r="A1034">
        <v>130</v>
      </c>
      <c r="B1034" t="s">
        <v>19</v>
      </c>
      <c r="C1034" t="s">
        <v>32</v>
      </c>
    </row>
    <row r="1035" spans="1:3" x14ac:dyDescent="0.25">
      <c r="A1035">
        <v>130</v>
      </c>
      <c r="B1035" t="s">
        <v>20</v>
      </c>
      <c r="C1035" t="s">
        <v>32</v>
      </c>
    </row>
    <row r="1036" spans="1:3" x14ac:dyDescent="0.25">
      <c r="A1036">
        <v>130</v>
      </c>
      <c r="B1036" t="s">
        <v>21</v>
      </c>
      <c r="C1036" t="s">
        <v>32</v>
      </c>
    </row>
    <row r="1037" spans="1:3" x14ac:dyDescent="0.25">
      <c r="A1037">
        <v>130</v>
      </c>
      <c r="B1037" t="s">
        <v>22</v>
      </c>
      <c r="C1037" t="s">
        <v>32</v>
      </c>
    </row>
    <row r="1038" spans="1:3" x14ac:dyDescent="0.25">
      <c r="A1038">
        <v>130</v>
      </c>
      <c r="B1038" t="s">
        <v>23</v>
      </c>
      <c r="C1038" t="s">
        <v>369</v>
      </c>
    </row>
    <row r="1039" spans="1:3" x14ac:dyDescent="0.25">
      <c r="A1039">
        <v>131</v>
      </c>
      <c r="B1039" t="s">
        <v>16</v>
      </c>
      <c r="C1039" t="s">
        <v>329</v>
      </c>
    </row>
    <row r="1040" spans="1:3" x14ac:dyDescent="0.25">
      <c r="A1040">
        <v>131</v>
      </c>
      <c r="B1040" t="s">
        <v>17</v>
      </c>
      <c r="C1040" t="s">
        <v>329</v>
      </c>
    </row>
    <row r="1041" spans="1:3" x14ac:dyDescent="0.25">
      <c r="A1041">
        <v>131</v>
      </c>
      <c r="B1041" t="s">
        <v>18</v>
      </c>
      <c r="C1041" t="s">
        <v>329</v>
      </c>
    </row>
    <row r="1042" spans="1:3" x14ac:dyDescent="0.25">
      <c r="A1042">
        <v>131</v>
      </c>
      <c r="B1042" t="s">
        <v>19</v>
      </c>
      <c r="C1042" t="s">
        <v>329</v>
      </c>
    </row>
    <row r="1043" spans="1:3" x14ac:dyDescent="0.25">
      <c r="A1043">
        <v>131</v>
      </c>
      <c r="B1043" t="s">
        <v>20</v>
      </c>
      <c r="C1043" t="s">
        <v>32</v>
      </c>
    </row>
    <row r="1044" spans="1:3" x14ac:dyDescent="0.25">
      <c r="A1044">
        <v>131</v>
      </c>
      <c r="B1044" t="s">
        <v>21</v>
      </c>
      <c r="C1044" t="s">
        <v>329</v>
      </c>
    </row>
    <row r="1045" spans="1:3" x14ac:dyDescent="0.25">
      <c r="A1045">
        <v>131</v>
      </c>
      <c r="B1045" t="s">
        <v>22</v>
      </c>
      <c r="C1045" t="s">
        <v>329</v>
      </c>
    </row>
    <row r="1046" spans="1:3" x14ac:dyDescent="0.25">
      <c r="A1046">
        <v>132</v>
      </c>
      <c r="B1046" t="s">
        <v>16</v>
      </c>
      <c r="C1046" t="s">
        <v>717</v>
      </c>
    </row>
    <row r="1047" spans="1:3" x14ac:dyDescent="0.25">
      <c r="A1047">
        <v>132</v>
      </c>
      <c r="B1047" t="s">
        <v>17</v>
      </c>
      <c r="C1047" t="s">
        <v>717</v>
      </c>
    </row>
    <row r="1048" spans="1:3" x14ac:dyDescent="0.25">
      <c r="A1048">
        <v>132</v>
      </c>
      <c r="B1048" t="s">
        <v>18</v>
      </c>
      <c r="C1048" t="s">
        <v>329</v>
      </c>
    </row>
    <row r="1049" spans="1:3" x14ac:dyDescent="0.25">
      <c r="A1049">
        <v>132</v>
      </c>
      <c r="B1049" t="s">
        <v>19</v>
      </c>
      <c r="C1049" t="s">
        <v>717</v>
      </c>
    </row>
    <row r="1050" spans="1:3" x14ac:dyDescent="0.25">
      <c r="A1050">
        <v>132</v>
      </c>
      <c r="B1050" t="s">
        <v>20</v>
      </c>
      <c r="C1050" t="s">
        <v>717</v>
      </c>
    </row>
    <row r="1051" spans="1:3" x14ac:dyDescent="0.25">
      <c r="A1051">
        <v>132</v>
      </c>
      <c r="B1051" t="s">
        <v>21</v>
      </c>
      <c r="C1051" t="s">
        <v>717</v>
      </c>
    </row>
    <row r="1052" spans="1:3" x14ac:dyDescent="0.25">
      <c r="A1052">
        <v>132</v>
      </c>
      <c r="B1052" t="s">
        <v>22</v>
      </c>
      <c r="C1052" t="s">
        <v>717</v>
      </c>
    </row>
    <row r="1053" spans="1:3" x14ac:dyDescent="0.25">
      <c r="A1053">
        <v>132</v>
      </c>
      <c r="B1053" t="s">
        <v>23</v>
      </c>
      <c r="C1053" t="s">
        <v>717</v>
      </c>
    </row>
    <row r="1054" spans="1:3" x14ac:dyDescent="0.25">
      <c r="A1054">
        <v>133</v>
      </c>
      <c r="B1054" t="s">
        <v>16</v>
      </c>
      <c r="C1054" t="s">
        <v>32</v>
      </c>
    </row>
    <row r="1055" spans="1:3" x14ac:dyDescent="0.25">
      <c r="A1055">
        <v>133</v>
      </c>
      <c r="B1055" t="s">
        <v>17</v>
      </c>
      <c r="C1055" t="s">
        <v>32</v>
      </c>
    </row>
    <row r="1056" spans="1:3" x14ac:dyDescent="0.25">
      <c r="A1056">
        <v>133</v>
      </c>
      <c r="B1056" t="s">
        <v>18</v>
      </c>
      <c r="C1056" t="s">
        <v>32</v>
      </c>
    </row>
    <row r="1057" spans="1:3" x14ac:dyDescent="0.25">
      <c r="A1057">
        <v>133</v>
      </c>
      <c r="B1057" t="s">
        <v>19</v>
      </c>
      <c r="C1057" t="s">
        <v>32</v>
      </c>
    </row>
    <row r="1058" spans="1:3" x14ac:dyDescent="0.25">
      <c r="A1058">
        <v>133</v>
      </c>
      <c r="B1058" t="s">
        <v>20</v>
      </c>
      <c r="C1058" t="s">
        <v>32</v>
      </c>
    </row>
    <row r="1059" spans="1:3" x14ac:dyDescent="0.25">
      <c r="A1059">
        <v>133</v>
      </c>
      <c r="B1059" t="s">
        <v>21</v>
      </c>
      <c r="C1059" t="s">
        <v>32</v>
      </c>
    </row>
    <row r="1060" spans="1:3" x14ac:dyDescent="0.25">
      <c r="A1060">
        <v>133</v>
      </c>
      <c r="B1060" t="s">
        <v>22</v>
      </c>
      <c r="C1060" t="s">
        <v>32</v>
      </c>
    </row>
    <row r="1061" spans="1:3" x14ac:dyDescent="0.25">
      <c r="A1061">
        <v>133</v>
      </c>
      <c r="B1061" t="s">
        <v>23</v>
      </c>
      <c r="C1061" t="s">
        <v>717</v>
      </c>
    </row>
    <row r="1062" spans="1:3" x14ac:dyDescent="0.25">
      <c r="A1062">
        <v>134</v>
      </c>
      <c r="B1062" t="s">
        <v>16</v>
      </c>
      <c r="C1062" t="s">
        <v>369</v>
      </c>
    </row>
    <row r="1063" spans="1:3" x14ac:dyDescent="0.25">
      <c r="A1063">
        <v>134</v>
      </c>
      <c r="B1063" t="s">
        <v>17</v>
      </c>
      <c r="C1063" t="s">
        <v>369</v>
      </c>
    </row>
    <row r="1064" spans="1:3" x14ac:dyDescent="0.25">
      <c r="A1064">
        <v>134</v>
      </c>
      <c r="B1064" t="s">
        <v>18</v>
      </c>
      <c r="C1064" t="s">
        <v>329</v>
      </c>
    </row>
    <row r="1065" spans="1:3" x14ac:dyDescent="0.25">
      <c r="A1065">
        <v>134</v>
      </c>
      <c r="B1065" t="s">
        <v>19</v>
      </c>
      <c r="C1065" t="s">
        <v>369</v>
      </c>
    </row>
    <row r="1066" spans="1:3" x14ac:dyDescent="0.25">
      <c r="A1066">
        <v>134</v>
      </c>
      <c r="B1066" t="s">
        <v>20</v>
      </c>
      <c r="C1066" t="s">
        <v>369</v>
      </c>
    </row>
    <row r="1067" spans="1:3" x14ac:dyDescent="0.25">
      <c r="A1067">
        <v>134</v>
      </c>
      <c r="B1067" t="s">
        <v>21</v>
      </c>
      <c r="C1067" t="s">
        <v>369</v>
      </c>
    </row>
    <row r="1068" spans="1:3" x14ac:dyDescent="0.25">
      <c r="A1068">
        <v>134</v>
      </c>
      <c r="B1068" t="s">
        <v>22</v>
      </c>
      <c r="C1068" t="s">
        <v>369</v>
      </c>
    </row>
    <row r="1069" spans="1:3" x14ac:dyDescent="0.25">
      <c r="A1069">
        <v>134</v>
      </c>
      <c r="B1069" t="s">
        <v>23</v>
      </c>
      <c r="C1069" t="s">
        <v>369</v>
      </c>
    </row>
    <row r="1070" spans="1:3" x14ac:dyDescent="0.25">
      <c r="A1070">
        <v>135</v>
      </c>
      <c r="B1070" t="s">
        <v>16</v>
      </c>
      <c r="C1070" t="s">
        <v>369</v>
      </c>
    </row>
    <row r="1071" spans="1:3" x14ac:dyDescent="0.25">
      <c r="A1071">
        <v>135</v>
      </c>
      <c r="B1071" t="s">
        <v>17</v>
      </c>
      <c r="C1071" t="s">
        <v>369</v>
      </c>
    </row>
    <row r="1072" spans="1:3" x14ac:dyDescent="0.25">
      <c r="A1072">
        <v>135</v>
      </c>
      <c r="B1072" t="s">
        <v>18</v>
      </c>
      <c r="C1072" t="s">
        <v>329</v>
      </c>
    </row>
    <row r="1073" spans="1:3" x14ac:dyDescent="0.25">
      <c r="A1073">
        <v>135</v>
      </c>
      <c r="B1073" t="s">
        <v>19</v>
      </c>
      <c r="C1073" t="s">
        <v>369</v>
      </c>
    </row>
    <row r="1074" spans="1:3" x14ac:dyDescent="0.25">
      <c r="A1074">
        <v>135</v>
      </c>
      <c r="B1074" t="s">
        <v>20</v>
      </c>
      <c r="C1074" t="s">
        <v>369</v>
      </c>
    </row>
    <row r="1075" spans="1:3" x14ac:dyDescent="0.25">
      <c r="A1075">
        <v>135</v>
      </c>
      <c r="B1075" t="s">
        <v>21</v>
      </c>
      <c r="C1075" t="s">
        <v>329</v>
      </c>
    </row>
    <row r="1076" spans="1:3" x14ac:dyDescent="0.25">
      <c r="A1076">
        <v>135</v>
      </c>
      <c r="B1076" t="s">
        <v>22</v>
      </c>
      <c r="C1076" t="s">
        <v>369</v>
      </c>
    </row>
    <row r="1077" spans="1:3" x14ac:dyDescent="0.25">
      <c r="A1077">
        <v>135</v>
      </c>
      <c r="B1077" t="s">
        <v>23</v>
      </c>
      <c r="C1077" t="s">
        <v>369</v>
      </c>
    </row>
    <row r="1078" spans="1:3" x14ac:dyDescent="0.25">
      <c r="A1078">
        <v>136</v>
      </c>
      <c r="B1078" t="s">
        <v>16</v>
      </c>
      <c r="C1078" t="s">
        <v>717</v>
      </c>
    </row>
    <row r="1079" spans="1:3" x14ac:dyDescent="0.25">
      <c r="A1079">
        <v>136</v>
      </c>
      <c r="B1079" t="s">
        <v>17</v>
      </c>
      <c r="C1079" t="s">
        <v>717</v>
      </c>
    </row>
    <row r="1080" spans="1:3" x14ac:dyDescent="0.25">
      <c r="A1080">
        <v>136</v>
      </c>
      <c r="B1080" t="s">
        <v>18</v>
      </c>
      <c r="C1080" t="s">
        <v>32</v>
      </c>
    </row>
    <row r="1081" spans="1:3" x14ac:dyDescent="0.25">
      <c r="A1081">
        <v>136</v>
      </c>
      <c r="B1081" t="s">
        <v>19</v>
      </c>
      <c r="C1081" t="s">
        <v>32</v>
      </c>
    </row>
    <row r="1082" spans="1:3" x14ac:dyDescent="0.25">
      <c r="A1082">
        <v>136</v>
      </c>
      <c r="B1082" t="s">
        <v>20</v>
      </c>
      <c r="C1082" t="s">
        <v>717</v>
      </c>
    </row>
    <row r="1083" spans="1:3" x14ac:dyDescent="0.25">
      <c r="A1083">
        <v>136</v>
      </c>
      <c r="B1083" t="s">
        <v>21</v>
      </c>
      <c r="C1083" t="s">
        <v>717</v>
      </c>
    </row>
    <row r="1084" spans="1:3" x14ac:dyDescent="0.25">
      <c r="A1084">
        <v>136</v>
      </c>
      <c r="B1084" t="s">
        <v>22</v>
      </c>
      <c r="C1084" t="s">
        <v>717</v>
      </c>
    </row>
    <row r="1085" spans="1:3" x14ac:dyDescent="0.25">
      <c r="A1085">
        <v>136</v>
      </c>
      <c r="B1085" t="s">
        <v>23</v>
      </c>
      <c r="C1085" t="s">
        <v>717</v>
      </c>
    </row>
    <row r="1086" spans="1:3" x14ac:dyDescent="0.25">
      <c r="A1086">
        <v>137</v>
      </c>
      <c r="B1086" t="s">
        <v>16</v>
      </c>
      <c r="C1086" t="s">
        <v>329</v>
      </c>
    </row>
    <row r="1087" spans="1:3" x14ac:dyDescent="0.25">
      <c r="A1087">
        <v>137</v>
      </c>
      <c r="B1087" t="s">
        <v>17</v>
      </c>
      <c r="C1087" t="s">
        <v>32</v>
      </c>
    </row>
    <row r="1088" spans="1:3" x14ac:dyDescent="0.25">
      <c r="A1088">
        <v>137</v>
      </c>
      <c r="B1088" t="s">
        <v>18</v>
      </c>
      <c r="C1088" t="s">
        <v>329</v>
      </c>
    </row>
    <row r="1089" spans="1:3" x14ac:dyDescent="0.25">
      <c r="A1089">
        <v>137</v>
      </c>
      <c r="B1089" t="s">
        <v>19</v>
      </c>
      <c r="C1089" t="s">
        <v>32</v>
      </c>
    </row>
    <row r="1090" spans="1:3" x14ac:dyDescent="0.25">
      <c r="A1090">
        <v>137</v>
      </c>
      <c r="B1090" t="s">
        <v>20</v>
      </c>
      <c r="C1090" t="s">
        <v>329</v>
      </c>
    </row>
    <row r="1091" spans="1:3" x14ac:dyDescent="0.25">
      <c r="A1091">
        <v>137</v>
      </c>
      <c r="B1091" t="s">
        <v>21</v>
      </c>
      <c r="C1091" t="s">
        <v>32</v>
      </c>
    </row>
    <row r="1092" spans="1:3" x14ac:dyDescent="0.25">
      <c r="A1092">
        <v>137</v>
      </c>
      <c r="B1092" t="s">
        <v>22</v>
      </c>
      <c r="C1092" t="s">
        <v>329</v>
      </c>
    </row>
    <row r="1093" spans="1:3" x14ac:dyDescent="0.25">
      <c r="A1093">
        <v>137</v>
      </c>
      <c r="B1093" t="s">
        <v>23</v>
      </c>
      <c r="C1093" t="s">
        <v>329</v>
      </c>
    </row>
    <row r="1094" spans="1:3" x14ac:dyDescent="0.25">
      <c r="A1094">
        <v>138</v>
      </c>
      <c r="B1094" t="s">
        <v>16</v>
      </c>
      <c r="C1094" t="s">
        <v>32</v>
      </c>
    </row>
    <row r="1095" spans="1:3" x14ac:dyDescent="0.25">
      <c r="A1095">
        <v>138</v>
      </c>
      <c r="B1095" t="s">
        <v>17</v>
      </c>
      <c r="C1095" t="s">
        <v>369</v>
      </c>
    </row>
    <row r="1096" spans="1:3" x14ac:dyDescent="0.25">
      <c r="A1096">
        <v>138</v>
      </c>
      <c r="B1096" t="s">
        <v>18</v>
      </c>
      <c r="C1096" t="s">
        <v>329</v>
      </c>
    </row>
    <row r="1097" spans="1:3" x14ac:dyDescent="0.25">
      <c r="A1097">
        <v>138</v>
      </c>
      <c r="B1097" t="s">
        <v>19</v>
      </c>
      <c r="C1097" t="s">
        <v>32</v>
      </c>
    </row>
    <row r="1098" spans="1:3" x14ac:dyDescent="0.25">
      <c r="A1098">
        <v>138</v>
      </c>
      <c r="B1098" t="s">
        <v>20</v>
      </c>
      <c r="C1098" t="s">
        <v>32</v>
      </c>
    </row>
    <row r="1099" spans="1:3" x14ac:dyDescent="0.25">
      <c r="A1099">
        <v>138</v>
      </c>
      <c r="B1099" t="s">
        <v>21</v>
      </c>
      <c r="C1099" t="s">
        <v>32</v>
      </c>
    </row>
    <row r="1100" spans="1:3" x14ac:dyDescent="0.25">
      <c r="A1100">
        <v>138</v>
      </c>
      <c r="B1100" t="s">
        <v>22</v>
      </c>
      <c r="C1100" t="s">
        <v>32</v>
      </c>
    </row>
    <row r="1101" spans="1:3" x14ac:dyDescent="0.25">
      <c r="A1101">
        <v>138</v>
      </c>
      <c r="B1101" t="s">
        <v>23</v>
      </c>
      <c r="C1101" t="s">
        <v>369</v>
      </c>
    </row>
    <row r="1102" spans="1:3" x14ac:dyDescent="0.25">
      <c r="A1102">
        <v>139</v>
      </c>
      <c r="B1102" t="s">
        <v>16</v>
      </c>
      <c r="C1102" t="s">
        <v>32</v>
      </c>
    </row>
    <row r="1103" spans="1:3" x14ac:dyDescent="0.25">
      <c r="A1103">
        <v>139</v>
      </c>
      <c r="B1103" t="s">
        <v>17</v>
      </c>
      <c r="C1103" t="s">
        <v>329</v>
      </c>
    </row>
    <row r="1104" spans="1:3" x14ac:dyDescent="0.25">
      <c r="A1104">
        <v>139</v>
      </c>
      <c r="B1104" t="s">
        <v>18</v>
      </c>
      <c r="C1104" t="s">
        <v>329</v>
      </c>
    </row>
    <row r="1105" spans="1:3" x14ac:dyDescent="0.25">
      <c r="A1105">
        <v>139</v>
      </c>
      <c r="B1105" t="s">
        <v>19</v>
      </c>
      <c r="C1105" t="s">
        <v>32</v>
      </c>
    </row>
    <row r="1106" spans="1:3" x14ac:dyDescent="0.25">
      <c r="A1106">
        <v>139</v>
      </c>
      <c r="B1106" t="s">
        <v>20</v>
      </c>
      <c r="C1106" t="s">
        <v>329</v>
      </c>
    </row>
    <row r="1107" spans="1:3" x14ac:dyDescent="0.25">
      <c r="A1107">
        <v>139</v>
      </c>
      <c r="B1107" t="s">
        <v>21</v>
      </c>
      <c r="C1107" t="s">
        <v>32</v>
      </c>
    </row>
    <row r="1108" spans="1:3" x14ac:dyDescent="0.25">
      <c r="A1108">
        <v>139</v>
      </c>
      <c r="B1108" t="s">
        <v>22</v>
      </c>
      <c r="C1108" t="s">
        <v>32</v>
      </c>
    </row>
    <row r="1109" spans="1:3" x14ac:dyDescent="0.25">
      <c r="A1109">
        <v>139</v>
      </c>
      <c r="B1109" t="s">
        <v>23</v>
      </c>
      <c r="C1109" t="s">
        <v>717</v>
      </c>
    </row>
    <row r="1110" spans="1:3" x14ac:dyDescent="0.25">
      <c r="A1110">
        <v>140</v>
      </c>
      <c r="B1110" t="s">
        <v>16</v>
      </c>
      <c r="C1110" t="s">
        <v>329</v>
      </c>
    </row>
    <row r="1111" spans="1:3" x14ac:dyDescent="0.25">
      <c r="A1111">
        <v>140</v>
      </c>
      <c r="B1111" t="s">
        <v>17</v>
      </c>
      <c r="C1111" t="s">
        <v>32</v>
      </c>
    </row>
    <row r="1112" spans="1:3" x14ac:dyDescent="0.25">
      <c r="A1112">
        <v>140</v>
      </c>
      <c r="B1112" t="s">
        <v>18</v>
      </c>
      <c r="C1112" t="s">
        <v>329</v>
      </c>
    </row>
    <row r="1113" spans="1:3" x14ac:dyDescent="0.25">
      <c r="A1113">
        <v>140</v>
      </c>
      <c r="B1113" t="s">
        <v>19</v>
      </c>
      <c r="C1113" t="s">
        <v>329</v>
      </c>
    </row>
    <row r="1114" spans="1:3" x14ac:dyDescent="0.25">
      <c r="A1114">
        <v>140</v>
      </c>
      <c r="B1114" t="s">
        <v>20</v>
      </c>
      <c r="C1114" t="s">
        <v>329</v>
      </c>
    </row>
    <row r="1115" spans="1:3" x14ac:dyDescent="0.25">
      <c r="A1115">
        <v>140</v>
      </c>
      <c r="B1115" t="s">
        <v>21</v>
      </c>
      <c r="C1115" t="s">
        <v>329</v>
      </c>
    </row>
    <row r="1116" spans="1:3" x14ac:dyDescent="0.25">
      <c r="A1116">
        <v>140</v>
      </c>
      <c r="B1116" t="s">
        <v>22</v>
      </c>
      <c r="C1116" t="s">
        <v>329</v>
      </c>
    </row>
    <row r="1117" spans="1:3" x14ac:dyDescent="0.25">
      <c r="A1117">
        <v>140</v>
      </c>
      <c r="B1117" t="s">
        <v>23</v>
      </c>
      <c r="C1117" t="s">
        <v>329</v>
      </c>
    </row>
    <row r="1118" spans="1:3" x14ac:dyDescent="0.25">
      <c r="A1118">
        <v>141</v>
      </c>
      <c r="B1118" t="s">
        <v>16</v>
      </c>
      <c r="C1118" t="s">
        <v>329</v>
      </c>
    </row>
    <row r="1119" spans="1:3" x14ac:dyDescent="0.25">
      <c r="A1119">
        <v>141</v>
      </c>
      <c r="B1119" t="s">
        <v>17</v>
      </c>
      <c r="C1119" t="s">
        <v>329</v>
      </c>
    </row>
    <row r="1120" spans="1:3" x14ac:dyDescent="0.25">
      <c r="A1120">
        <v>141</v>
      </c>
      <c r="B1120" t="s">
        <v>18</v>
      </c>
      <c r="C1120" t="s">
        <v>369</v>
      </c>
    </row>
    <row r="1121" spans="1:3" x14ac:dyDescent="0.25">
      <c r="A1121">
        <v>141</v>
      </c>
      <c r="B1121" t="s">
        <v>19</v>
      </c>
      <c r="C1121" t="s">
        <v>329</v>
      </c>
    </row>
    <row r="1122" spans="1:3" x14ac:dyDescent="0.25">
      <c r="A1122">
        <v>141</v>
      </c>
      <c r="B1122" t="s">
        <v>20</v>
      </c>
      <c r="C1122" t="s">
        <v>329</v>
      </c>
    </row>
    <row r="1123" spans="1:3" x14ac:dyDescent="0.25">
      <c r="A1123">
        <v>141</v>
      </c>
      <c r="B1123" t="s">
        <v>21</v>
      </c>
      <c r="C1123" t="s">
        <v>329</v>
      </c>
    </row>
    <row r="1124" spans="1:3" x14ac:dyDescent="0.25">
      <c r="A1124">
        <v>141</v>
      </c>
      <c r="B1124" t="s">
        <v>22</v>
      </c>
      <c r="C1124" t="s">
        <v>329</v>
      </c>
    </row>
    <row r="1125" spans="1:3" x14ac:dyDescent="0.25">
      <c r="A1125">
        <v>141</v>
      </c>
      <c r="B1125" t="s">
        <v>23</v>
      </c>
      <c r="C1125" t="s">
        <v>329</v>
      </c>
    </row>
    <row r="1126" spans="1:3" x14ac:dyDescent="0.25">
      <c r="A1126">
        <v>142</v>
      </c>
      <c r="B1126" t="s">
        <v>16</v>
      </c>
      <c r="C1126" t="s">
        <v>717</v>
      </c>
    </row>
    <row r="1127" spans="1:3" x14ac:dyDescent="0.25">
      <c r="A1127">
        <v>142</v>
      </c>
      <c r="B1127" t="s">
        <v>17</v>
      </c>
      <c r="C1127" t="s">
        <v>329</v>
      </c>
    </row>
    <row r="1128" spans="1:3" x14ac:dyDescent="0.25">
      <c r="A1128">
        <v>142</v>
      </c>
      <c r="B1128" t="s">
        <v>18</v>
      </c>
      <c r="C1128" t="s">
        <v>329</v>
      </c>
    </row>
    <row r="1129" spans="1:3" x14ac:dyDescent="0.25">
      <c r="A1129">
        <v>142</v>
      </c>
      <c r="B1129" t="s">
        <v>19</v>
      </c>
      <c r="C1129" t="s">
        <v>369</v>
      </c>
    </row>
    <row r="1130" spans="1:3" x14ac:dyDescent="0.25">
      <c r="A1130">
        <v>142</v>
      </c>
      <c r="B1130" t="s">
        <v>20</v>
      </c>
      <c r="C1130" t="s">
        <v>369</v>
      </c>
    </row>
    <row r="1131" spans="1:3" x14ac:dyDescent="0.25">
      <c r="A1131">
        <v>142</v>
      </c>
      <c r="B1131" t="s">
        <v>21</v>
      </c>
      <c r="C1131" t="s">
        <v>329</v>
      </c>
    </row>
    <row r="1132" spans="1:3" x14ac:dyDescent="0.25">
      <c r="A1132">
        <v>142</v>
      </c>
      <c r="B1132" t="s">
        <v>22</v>
      </c>
      <c r="C1132" t="s">
        <v>369</v>
      </c>
    </row>
    <row r="1133" spans="1:3" x14ac:dyDescent="0.25">
      <c r="A1133">
        <v>142</v>
      </c>
      <c r="B1133" t="s">
        <v>23</v>
      </c>
      <c r="C1133" t="s">
        <v>369</v>
      </c>
    </row>
    <row r="1134" spans="1:3" x14ac:dyDescent="0.25">
      <c r="A1134">
        <v>143</v>
      </c>
      <c r="B1134" t="s">
        <v>16</v>
      </c>
      <c r="C1134" t="s">
        <v>329</v>
      </c>
    </row>
    <row r="1135" spans="1:3" x14ac:dyDescent="0.25">
      <c r="A1135">
        <v>143</v>
      </c>
      <c r="B1135" t="s">
        <v>17</v>
      </c>
      <c r="C1135" t="s">
        <v>329</v>
      </c>
    </row>
    <row r="1136" spans="1:3" x14ac:dyDescent="0.25">
      <c r="A1136">
        <v>143</v>
      </c>
      <c r="B1136" t="s">
        <v>18</v>
      </c>
      <c r="C1136" t="s">
        <v>329</v>
      </c>
    </row>
    <row r="1137" spans="1:3" x14ac:dyDescent="0.25">
      <c r="A1137">
        <v>143</v>
      </c>
      <c r="B1137" t="s">
        <v>19</v>
      </c>
      <c r="C1137" t="s">
        <v>329</v>
      </c>
    </row>
    <row r="1138" spans="1:3" x14ac:dyDescent="0.25">
      <c r="A1138">
        <v>143</v>
      </c>
      <c r="B1138" t="s">
        <v>20</v>
      </c>
      <c r="C1138" t="s">
        <v>369</v>
      </c>
    </row>
    <row r="1139" spans="1:3" x14ac:dyDescent="0.25">
      <c r="A1139">
        <v>143</v>
      </c>
      <c r="B1139" t="s">
        <v>21</v>
      </c>
      <c r="C1139" t="s">
        <v>329</v>
      </c>
    </row>
    <row r="1140" spans="1:3" x14ac:dyDescent="0.25">
      <c r="A1140">
        <v>143</v>
      </c>
      <c r="B1140" t="s">
        <v>22</v>
      </c>
      <c r="C1140" t="s">
        <v>329</v>
      </c>
    </row>
    <row r="1141" spans="1:3" x14ac:dyDescent="0.25">
      <c r="A1141">
        <v>143</v>
      </c>
      <c r="B1141" t="s">
        <v>23</v>
      </c>
      <c r="C1141" t="s">
        <v>369</v>
      </c>
    </row>
    <row r="1142" spans="1:3" x14ac:dyDescent="0.25">
      <c r="A1142">
        <v>144</v>
      </c>
      <c r="B1142" t="s">
        <v>16</v>
      </c>
      <c r="C1142" t="s">
        <v>717</v>
      </c>
    </row>
    <row r="1143" spans="1:3" x14ac:dyDescent="0.25">
      <c r="A1143">
        <v>144</v>
      </c>
      <c r="B1143" t="s">
        <v>17</v>
      </c>
      <c r="C1143" t="s">
        <v>369</v>
      </c>
    </row>
    <row r="1144" spans="1:3" x14ac:dyDescent="0.25">
      <c r="A1144">
        <v>144</v>
      </c>
      <c r="B1144" t="s">
        <v>18</v>
      </c>
      <c r="C1144" t="s">
        <v>329</v>
      </c>
    </row>
    <row r="1145" spans="1:3" x14ac:dyDescent="0.25">
      <c r="A1145">
        <v>144</v>
      </c>
      <c r="B1145" t="s">
        <v>19</v>
      </c>
      <c r="C1145" t="s">
        <v>369</v>
      </c>
    </row>
    <row r="1146" spans="1:3" x14ac:dyDescent="0.25">
      <c r="A1146">
        <v>144</v>
      </c>
      <c r="B1146" t="s">
        <v>20</v>
      </c>
      <c r="C1146" t="s">
        <v>369</v>
      </c>
    </row>
    <row r="1147" spans="1:3" x14ac:dyDescent="0.25">
      <c r="A1147">
        <v>144</v>
      </c>
      <c r="B1147" t="s">
        <v>21</v>
      </c>
      <c r="C1147" t="s">
        <v>329</v>
      </c>
    </row>
    <row r="1148" spans="1:3" x14ac:dyDescent="0.25">
      <c r="A1148">
        <v>144</v>
      </c>
      <c r="B1148" t="s">
        <v>22</v>
      </c>
      <c r="C1148" t="s">
        <v>717</v>
      </c>
    </row>
    <row r="1149" spans="1:3" x14ac:dyDescent="0.25">
      <c r="A1149">
        <v>144</v>
      </c>
      <c r="B1149" t="s">
        <v>23</v>
      </c>
      <c r="C1149" t="s">
        <v>369</v>
      </c>
    </row>
    <row r="1150" spans="1:3" x14ac:dyDescent="0.25">
      <c r="A1150">
        <v>145</v>
      </c>
      <c r="B1150" t="s">
        <v>16</v>
      </c>
      <c r="C1150" t="s">
        <v>32</v>
      </c>
    </row>
    <row r="1151" spans="1:3" x14ac:dyDescent="0.25">
      <c r="A1151">
        <v>145</v>
      </c>
      <c r="B1151" t="s">
        <v>17</v>
      </c>
      <c r="C1151" t="s">
        <v>32</v>
      </c>
    </row>
    <row r="1152" spans="1:3" x14ac:dyDescent="0.25">
      <c r="A1152">
        <v>145</v>
      </c>
      <c r="B1152" t="s">
        <v>18</v>
      </c>
      <c r="C1152" t="s">
        <v>32</v>
      </c>
    </row>
    <row r="1153" spans="1:3" x14ac:dyDescent="0.25">
      <c r="A1153">
        <v>145</v>
      </c>
      <c r="B1153" t="s">
        <v>19</v>
      </c>
      <c r="C1153" t="s">
        <v>32</v>
      </c>
    </row>
    <row r="1154" spans="1:3" x14ac:dyDescent="0.25">
      <c r="A1154">
        <v>145</v>
      </c>
      <c r="B1154" t="s">
        <v>20</v>
      </c>
      <c r="C1154" t="s">
        <v>32</v>
      </c>
    </row>
    <row r="1155" spans="1:3" x14ac:dyDescent="0.25">
      <c r="A1155">
        <v>145</v>
      </c>
      <c r="B1155" t="s">
        <v>21</v>
      </c>
      <c r="C1155" t="s">
        <v>32</v>
      </c>
    </row>
    <row r="1156" spans="1:3" x14ac:dyDescent="0.25">
      <c r="A1156">
        <v>145</v>
      </c>
      <c r="B1156" t="s">
        <v>22</v>
      </c>
      <c r="C1156" t="s">
        <v>32</v>
      </c>
    </row>
    <row r="1157" spans="1:3" x14ac:dyDescent="0.25">
      <c r="A1157">
        <v>145</v>
      </c>
      <c r="B1157" t="s">
        <v>23</v>
      </c>
      <c r="C1157" t="s">
        <v>32</v>
      </c>
    </row>
    <row r="1158" spans="1:3" x14ac:dyDescent="0.25">
      <c r="A1158">
        <v>146</v>
      </c>
      <c r="B1158" t="s">
        <v>16</v>
      </c>
      <c r="C1158" t="s">
        <v>329</v>
      </c>
    </row>
    <row r="1159" spans="1:3" x14ac:dyDescent="0.25">
      <c r="A1159">
        <v>146</v>
      </c>
      <c r="B1159" t="s">
        <v>17</v>
      </c>
      <c r="C1159" t="s">
        <v>329</v>
      </c>
    </row>
    <row r="1160" spans="1:3" x14ac:dyDescent="0.25">
      <c r="A1160">
        <v>146</v>
      </c>
      <c r="B1160" t="s">
        <v>18</v>
      </c>
      <c r="C1160" t="s">
        <v>32</v>
      </c>
    </row>
    <row r="1161" spans="1:3" x14ac:dyDescent="0.25">
      <c r="A1161">
        <v>146</v>
      </c>
      <c r="B1161" t="s">
        <v>19</v>
      </c>
      <c r="C1161" t="s">
        <v>329</v>
      </c>
    </row>
    <row r="1162" spans="1:3" x14ac:dyDescent="0.25">
      <c r="A1162">
        <v>146</v>
      </c>
      <c r="B1162" t="s">
        <v>20</v>
      </c>
      <c r="C1162" t="s">
        <v>329</v>
      </c>
    </row>
    <row r="1163" spans="1:3" x14ac:dyDescent="0.25">
      <c r="A1163">
        <v>146</v>
      </c>
      <c r="B1163" t="s">
        <v>21</v>
      </c>
      <c r="C1163" t="s">
        <v>329</v>
      </c>
    </row>
    <row r="1164" spans="1:3" x14ac:dyDescent="0.25">
      <c r="A1164">
        <v>146</v>
      </c>
      <c r="B1164" t="s">
        <v>22</v>
      </c>
      <c r="C1164" t="s">
        <v>329</v>
      </c>
    </row>
    <row r="1165" spans="1:3" x14ac:dyDescent="0.25">
      <c r="A1165">
        <v>146</v>
      </c>
      <c r="B1165" t="s">
        <v>23</v>
      </c>
      <c r="C1165" t="s">
        <v>329</v>
      </c>
    </row>
    <row r="1166" spans="1:3" x14ac:dyDescent="0.25">
      <c r="A1166">
        <v>147</v>
      </c>
      <c r="B1166" t="s">
        <v>16</v>
      </c>
      <c r="C1166" t="s">
        <v>329</v>
      </c>
    </row>
    <row r="1167" spans="1:3" x14ac:dyDescent="0.25">
      <c r="A1167">
        <v>147</v>
      </c>
      <c r="B1167" t="s">
        <v>17</v>
      </c>
      <c r="C1167" t="s">
        <v>329</v>
      </c>
    </row>
    <row r="1168" spans="1:3" x14ac:dyDescent="0.25">
      <c r="A1168">
        <v>147</v>
      </c>
      <c r="B1168" t="s">
        <v>18</v>
      </c>
      <c r="C1168" t="s">
        <v>329</v>
      </c>
    </row>
    <row r="1169" spans="1:3" x14ac:dyDescent="0.25">
      <c r="A1169">
        <v>147</v>
      </c>
      <c r="B1169" t="s">
        <v>19</v>
      </c>
      <c r="C1169" t="s">
        <v>329</v>
      </c>
    </row>
    <row r="1170" spans="1:3" x14ac:dyDescent="0.25">
      <c r="A1170">
        <v>147</v>
      </c>
      <c r="B1170" t="s">
        <v>20</v>
      </c>
      <c r="C1170" t="s">
        <v>329</v>
      </c>
    </row>
    <row r="1171" spans="1:3" x14ac:dyDescent="0.25">
      <c r="A1171">
        <v>147</v>
      </c>
      <c r="B1171" t="s">
        <v>21</v>
      </c>
      <c r="C1171" t="s">
        <v>329</v>
      </c>
    </row>
    <row r="1172" spans="1:3" x14ac:dyDescent="0.25">
      <c r="A1172">
        <v>147</v>
      </c>
      <c r="B1172" t="s">
        <v>22</v>
      </c>
      <c r="C1172" t="s">
        <v>329</v>
      </c>
    </row>
    <row r="1173" spans="1:3" x14ac:dyDescent="0.25">
      <c r="A1173">
        <v>147</v>
      </c>
      <c r="B1173" t="s">
        <v>23</v>
      </c>
      <c r="C1173" t="s">
        <v>329</v>
      </c>
    </row>
    <row r="1174" spans="1:3" x14ac:dyDescent="0.25">
      <c r="A1174">
        <v>148</v>
      </c>
      <c r="B1174" t="s">
        <v>16</v>
      </c>
      <c r="C1174" t="s">
        <v>369</v>
      </c>
    </row>
    <row r="1175" spans="1:3" x14ac:dyDescent="0.25">
      <c r="A1175">
        <v>148</v>
      </c>
      <c r="B1175" t="s">
        <v>17</v>
      </c>
      <c r="C1175" t="s">
        <v>717</v>
      </c>
    </row>
    <row r="1176" spans="1:3" x14ac:dyDescent="0.25">
      <c r="A1176">
        <v>148</v>
      </c>
      <c r="B1176" t="s">
        <v>18</v>
      </c>
      <c r="C1176" t="s">
        <v>329</v>
      </c>
    </row>
    <row r="1177" spans="1:3" x14ac:dyDescent="0.25">
      <c r="A1177">
        <v>148</v>
      </c>
      <c r="B1177" t="s">
        <v>19</v>
      </c>
      <c r="C1177" t="s">
        <v>369</v>
      </c>
    </row>
    <row r="1178" spans="1:3" x14ac:dyDescent="0.25">
      <c r="A1178">
        <v>148</v>
      </c>
      <c r="B1178" t="s">
        <v>20</v>
      </c>
      <c r="C1178" t="s">
        <v>369</v>
      </c>
    </row>
    <row r="1179" spans="1:3" x14ac:dyDescent="0.25">
      <c r="A1179">
        <v>148</v>
      </c>
      <c r="B1179" t="s">
        <v>21</v>
      </c>
      <c r="C1179" t="s">
        <v>369</v>
      </c>
    </row>
    <row r="1180" spans="1:3" x14ac:dyDescent="0.25">
      <c r="A1180">
        <v>148</v>
      </c>
      <c r="B1180" t="s">
        <v>22</v>
      </c>
      <c r="C1180" t="s">
        <v>369</v>
      </c>
    </row>
    <row r="1181" spans="1:3" x14ac:dyDescent="0.25">
      <c r="A1181">
        <v>148</v>
      </c>
      <c r="B1181" t="s">
        <v>23</v>
      </c>
      <c r="C1181" t="s">
        <v>369</v>
      </c>
    </row>
    <row r="1182" spans="1:3" x14ac:dyDescent="0.25">
      <c r="A1182">
        <v>149</v>
      </c>
      <c r="B1182" t="s">
        <v>16</v>
      </c>
      <c r="C1182" t="s">
        <v>32</v>
      </c>
    </row>
    <row r="1183" spans="1:3" x14ac:dyDescent="0.25">
      <c r="A1183">
        <v>149</v>
      </c>
      <c r="B1183" t="s">
        <v>17</v>
      </c>
      <c r="C1183" t="s">
        <v>717</v>
      </c>
    </row>
    <row r="1184" spans="1:3" x14ac:dyDescent="0.25">
      <c r="A1184">
        <v>149</v>
      </c>
      <c r="B1184" t="s">
        <v>18</v>
      </c>
      <c r="C1184" t="s">
        <v>329</v>
      </c>
    </row>
    <row r="1185" spans="1:3" x14ac:dyDescent="0.25">
      <c r="A1185">
        <v>149</v>
      </c>
      <c r="B1185" t="s">
        <v>19</v>
      </c>
      <c r="C1185" t="s">
        <v>32</v>
      </c>
    </row>
    <row r="1186" spans="1:3" x14ac:dyDescent="0.25">
      <c r="A1186">
        <v>149</v>
      </c>
      <c r="B1186" t="s">
        <v>20</v>
      </c>
      <c r="C1186" t="s">
        <v>32</v>
      </c>
    </row>
    <row r="1187" spans="1:3" x14ac:dyDescent="0.25">
      <c r="A1187">
        <v>149</v>
      </c>
      <c r="B1187" t="s">
        <v>21</v>
      </c>
      <c r="C1187" t="s">
        <v>32</v>
      </c>
    </row>
    <row r="1188" spans="1:3" x14ac:dyDescent="0.25">
      <c r="A1188">
        <v>149</v>
      </c>
      <c r="B1188" t="s">
        <v>22</v>
      </c>
      <c r="C1188" t="s">
        <v>32</v>
      </c>
    </row>
    <row r="1189" spans="1:3" x14ac:dyDescent="0.25">
      <c r="A1189">
        <v>149</v>
      </c>
      <c r="B1189" t="s">
        <v>23</v>
      </c>
      <c r="C1189" t="s">
        <v>32</v>
      </c>
    </row>
    <row r="1190" spans="1:3" x14ac:dyDescent="0.25">
      <c r="A1190">
        <v>150</v>
      </c>
      <c r="B1190" t="s">
        <v>16</v>
      </c>
      <c r="C1190" t="s">
        <v>329</v>
      </c>
    </row>
    <row r="1191" spans="1:3" x14ac:dyDescent="0.25">
      <c r="A1191">
        <v>150</v>
      </c>
      <c r="B1191" t="s">
        <v>17</v>
      </c>
      <c r="C1191" t="s">
        <v>32</v>
      </c>
    </row>
    <row r="1192" spans="1:3" x14ac:dyDescent="0.25">
      <c r="A1192">
        <v>150</v>
      </c>
      <c r="B1192" t="s">
        <v>18</v>
      </c>
      <c r="C1192" t="s">
        <v>32</v>
      </c>
    </row>
    <row r="1193" spans="1:3" x14ac:dyDescent="0.25">
      <c r="A1193">
        <v>150</v>
      </c>
      <c r="B1193" t="s">
        <v>19</v>
      </c>
      <c r="C1193" t="s">
        <v>32</v>
      </c>
    </row>
    <row r="1194" spans="1:3" x14ac:dyDescent="0.25">
      <c r="A1194">
        <v>150</v>
      </c>
      <c r="B1194" t="s">
        <v>20</v>
      </c>
      <c r="C1194" t="s">
        <v>32</v>
      </c>
    </row>
    <row r="1195" spans="1:3" x14ac:dyDescent="0.25">
      <c r="A1195">
        <v>150</v>
      </c>
      <c r="B1195" t="s">
        <v>21</v>
      </c>
      <c r="C1195" t="s">
        <v>329</v>
      </c>
    </row>
    <row r="1196" spans="1:3" x14ac:dyDescent="0.25">
      <c r="A1196">
        <v>150</v>
      </c>
      <c r="B1196" t="s">
        <v>22</v>
      </c>
      <c r="C1196" t="s">
        <v>329</v>
      </c>
    </row>
    <row r="1197" spans="1:3" x14ac:dyDescent="0.25">
      <c r="A1197">
        <v>150</v>
      </c>
      <c r="B1197" t="s">
        <v>23</v>
      </c>
      <c r="C1197" t="s">
        <v>369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D621D-D9A5-46E7-9116-4A32E6C6EBE7}">
  <dimension ref="A1:R292"/>
  <sheetViews>
    <sheetView zoomScale="85" zoomScaleNormal="85" workbookViewId="0">
      <selection activeCell="A297" sqref="A297"/>
    </sheetView>
  </sheetViews>
  <sheetFormatPr defaultRowHeight="12.5" x14ac:dyDescent="0.25"/>
  <cols>
    <col min="1" max="1" width="24.36328125" bestFit="1" customWidth="1"/>
    <col min="2" max="2" width="51.54296875" customWidth="1"/>
    <col min="3" max="3" width="11.6328125" bestFit="1" customWidth="1"/>
    <col min="4" max="4" width="41.1796875" customWidth="1"/>
    <col min="5" max="5" width="51.08984375" customWidth="1"/>
    <col min="6" max="6" width="9.81640625" customWidth="1"/>
    <col min="7" max="7" width="9.36328125" customWidth="1"/>
    <col min="8" max="8" width="13.36328125" bestFit="1" customWidth="1"/>
    <col min="9" max="9" width="16.81640625" bestFit="1" customWidth="1"/>
    <col min="10" max="10" width="13.81640625" customWidth="1"/>
    <col min="11" max="11" width="14.1796875" bestFit="1" customWidth="1"/>
    <col min="12" max="12" width="74.1796875" bestFit="1" customWidth="1"/>
    <col min="13" max="13" width="6.7265625" bestFit="1" customWidth="1"/>
    <col min="14" max="14" width="14.7265625" bestFit="1" customWidth="1"/>
    <col min="15" max="15" width="62.1796875" bestFit="1" customWidth="1"/>
    <col min="16" max="16" width="44.26953125" bestFit="1" customWidth="1"/>
    <col min="17" max="17" width="74.1796875" bestFit="1" customWidth="1"/>
    <col min="18" max="18" width="38" bestFit="1" customWidth="1"/>
  </cols>
  <sheetData>
    <row r="1" spans="1:18" x14ac:dyDescent="0.25">
      <c r="A1" t="s">
        <v>753</v>
      </c>
      <c r="B1" t="s">
        <v>2</v>
      </c>
      <c r="C1" t="s">
        <v>712</v>
      </c>
      <c r="D1" s="5" t="s">
        <v>767</v>
      </c>
      <c r="E1" t="s">
        <v>713</v>
      </c>
      <c r="F1" t="s">
        <v>5</v>
      </c>
      <c r="G1" t="s">
        <v>8</v>
      </c>
      <c r="H1" t="s">
        <v>738</v>
      </c>
      <c r="I1" t="s">
        <v>739</v>
      </c>
      <c r="J1" t="s">
        <v>740</v>
      </c>
      <c r="K1" t="s">
        <v>741</v>
      </c>
      <c r="L1" t="s">
        <v>742</v>
      </c>
      <c r="M1" t="s">
        <v>743</v>
      </c>
      <c r="N1" t="s">
        <v>744</v>
      </c>
      <c r="O1" t="s">
        <v>24</v>
      </c>
      <c r="P1" t="s">
        <v>25</v>
      </c>
      <c r="Q1" t="s">
        <v>714</v>
      </c>
      <c r="R1" t="s">
        <v>27</v>
      </c>
    </row>
    <row r="2" spans="1:18" x14ac:dyDescent="0.25">
      <c r="A2" t="s">
        <v>28</v>
      </c>
      <c r="B2" t="s">
        <v>29</v>
      </c>
      <c r="C2" t="s">
        <v>204</v>
      </c>
      <c r="D2" cm="1">
        <f t="array" ref="D2">_xlfn.IFS(SINGLE_RESPONSES[[#This Row],[Age]]="18 - 29",1, SINGLE_RESPONSES[[#This Row],[Age]]="30 - 41",2,SINGLE_RESPONSES[[#This Row],[Age]]="42 -53",3, SINGLE_RESPONSES[[#This Row],[Age]]="54 - 65",4, SINGLE_RESPONSES[[#This Row],[Age]]="66 and above",5)</f>
        <v>2</v>
      </c>
      <c r="E2" t="s">
        <v>31</v>
      </c>
      <c r="F2" t="s">
        <v>32</v>
      </c>
      <c r="G2" t="s">
        <v>32</v>
      </c>
      <c r="H2" t="s">
        <v>716</v>
      </c>
      <c r="I2" t="s">
        <v>717</v>
      </c>
      <c r="J2" t="s">
        <v>38</v>
      </c>
      <c r="K2" t="s">
        <v>39</v>
      </c>
      <c r="L2" t="s">
        <v>40</v>
      </c>
      <c r="M2">
        <v>9</v>
      </c>
      <c r="N2" t="s">
        <v>329</v>
      </c>
      <c r="O2" t="s">
        <v>43</v>
      </c>
      <c r="P2" t="s">
        <v>32</v>
      </c>
      <c r="Q2" t="s">
        <v>44</v>
      </c>
      <c r="R2">
        <v>1</v>
      </c>
    </row>
    <row r="3" spans="1:18" x14ac:dyDescent="0.25">
      <c r="A3" t="s">
        <v>45</v>
      </c>
      <c r="B3" t="s">
        <v>29</v>
      </c>
      <c r="C3" t="s">
        <v>46</v>
      </c>
      <c r="D3" cm="1">
        <f t="array" ref="D3">_xlfn.IFS(SINGLE_RESPONSES[[#This Row],[Age]]="18 - 29",1, SINGLE_RESPONSES[[#This Row],[Age]]="30 - 41",2,SINGLE_RESPONSES[[#This Row],[Age]]="42 -53",3, SINGLE_RESPONSES[[#This Row],[Age]]="54 - 65",4, SINGLE_RESPONSES[[#This Row],[Age]]="66 and above",5)</f>
        <v>1</v>
      </c>
      <c r="E3" t="s">
        <v>31</v>
      </c>
      <c r="F3" t="s">
        <v>32</v>
      </c>
      <c r="G3" t="s">
        <v>32</v>
      </c>
      <c r="H3" t="s">
        <v>718</v>
      </c>
      <c r="I3" t="s">
        <v>32</v>
      </c>
      <c r="J3" t="s">
        <v>745</v>
      </c>
      <c r="K3" t="s">
        <v>39</v>
      </c>
      <c r="L3" t="s">
        <v>49</v>
      </c>
      <c r="M3">
        <v>9</v>
      </c>
      <c r="N3" t="s">
        <v>746</v>
      </c>
      <c r="O3" t="s">
        <v>39</v>
      </c>
      <c r="P3" t="s">
        <v>32</v>
      </c>
      <c r="Q3" t="s">
        <v>51</v>
      </c>
      <c r="R3">
        <v>5</v>
      </c>
    </row>
    <row r="4" spans="1:18" x14ac:dyDescent="0.25">
      <c r="A4" t="s">
        <v>52</v>
      </c>
      <c r="B4" t="s">
        <v>29</v>
      </c>
      <c r="C4" t="s">
        <v>46</v>
      </c>
      <c r="D4" cm="1">
        <f t="array" ref="D4">_xlfn.IFS(SINGLE_RESPONSES[[#This Row],[Age]]="18 - 29",1, SINGLE_RESPONSES[[#This Row],[Age]]="30 - 41",2,SINGLE_RESPONSES[[#This Row],[Age]]="42 -53",3, SINGLE_RESPONSES[[#This Row],[Age]]="54 - 65",4, SINGLE_RESPONSES[[#This Row],[Age]]="66 and above",5)</f>
        <v>1</v>
      </c>
      <c r="E4" t="s">
        <v>31</v>
      </c>
      <c r="F4" t="s">
        <v>717</v>
      </c>
      <c r="G4" t="s">
        <v>717</v>
      </c>
      <c r="H4" t="s">
        <v>718</v>
      </c>
      <c r="I4" t="s">
        <v>32</v>
      </c>
      <c r="J4" t="s">
        <v>53</v>
      </c>
      <c r="K4" t="s">
        <v>39</v>
      </c>
      <c r="L4" t="s">
        <v>53</v>
      </c>
      <c r="M4">
        <v>10</v>
      </c>
      <c r="N4" t="s">
        <v>746</v>
      </c>
      <c r="O4" t="s">
        <v>39</v>
      </c>
      <c r="P4" t="s">
        <v>32</v>
      </c>
      <c r="Q4" t="s">
        <v>56</v>
      </c>
      <c r="R4">
        <v>10</v>
      </c>
    </row>
    <row r="5" spans="1:18" x14ac:dyDescent="0.25">
      <c r="A5" t="s">
        <v>57</v>
      </c>
      <c r="B5" t="s">
        <v>29</v>
      </c>
      <c r="C5" t="s">
        <v>46</v>
      </c>
      <c r="D5" cm="1">
        <f t="array" ref="D5">_xlfn.IFS(SINGLE_RESPONSES[[#This Row],[Age]]="18 - 29",1, SINGLE_RESPONSES[[#This Row],[Age]]="30 - 41",2,SINGLE_RESPONSES[[#This Row],[Age]]="42 -53",3, SINGLE_RESPONSES[[#This Row],[Age]]="54 - 65",4, SINGLE_RESPONSES[[#This Row],[Age]]="66 and above",5)</f>
        <v>1</v>
      </c>
      <c r="E5" t="s">
        <v>31</v>
      </c>
      <c r="F5" t="s">
        <v>32</v>
      </c>
      <c r="G5" t="s">
        <v>32</v>
      </c>
      <c r="H5" t="s">
        <v>720</v>
      </c>
      <c r="I5" t="s">
        <v>369</v>
      </c>
      <c r="J5" t="s">
        <v>62</v>
      </c>
      <c r="K5" t="s">
        <v>39</v>
      </c>
      <c r="L5" t="s">
        <v>63</v>
      </c>
      <c r="M5">
        <v>7</v>
      </c>
      <c r="N5" t="s">
        <v>369</v>
      </c>
      <c r="O5" t="s">
        <v>39</v>
      </c>
      <c r="P5" t="s">
        <v>32</v>
      </c>
      <c r="Q5" t="s">
        <v>64</v>
      </c>
      <c r="R5">
        <v>5</v>
      </c>
    </row>
    <row r="6" spans="1:18" x14ac:dyDescent="0.25">
      <c r="A6" t="s">
        <v>65</v>
      </c>
      <c r="B6" t="s">
        <v>29</v>
      </c>
      <c r="C6" t="s">
        <v>46</v>
      </c>
      <c r="D6" cm="1">
        <f t="array" ref="D6">_xlfn.IFS(SINGLE_RESPONSES[[#This Row],[Age]]="18 - 29",1, SINGLE_RESPONSES[[#This Row],[Age]]="30 - 41",2,SINGLE_RESPONSES[[#This Row],[Age]]="42 -53",3, SINGLE_RESPONSES[[#This Row],[Age]]="54 - 65",4, SINGLE_RESPONSES[[#This Row],[Age]]="66 and above",5)</f>
        <v>1</v>
      </c>
      <c r="E6" t="s">
        <v>31</v>
      </c>
      <c r="F6" t="s">
        <v>32</v>
      </c>
      <c r="G6" t="s">
        <v>32</v>
      </c>
      <c r="H6" t="s">
        <v>716</v>
      </c>
      <c r="I6" t="s">
        <v>329</v>
      </c>
      <c r="J6" t="s">
        <v>67</v>
      </c>
      <c r="K6" t="s">
        <v>39</v>
      </c>
      <c r="L6" t="s">
        <v>68</v>
      </c>
      <c r="M6">
        <v>8</v>
      </c>
      <c r="N6" t="s">
        <v>329</v>
      </c>
      <c r="O6" t="s">
        <v>39</v>
      </c>
      <c r="P6" t="s">
        <v>32</v>
      </c>
      <c r="Q6" t="s">
        <v>69</v>
      </c>
      <c r="R6">
        <v>7</v>
      </c>
    </row>
    <row r="7" spans="1:18" x14ac:dyDescent="0.25">
      <c r="A7" t="s">
        <v>70</v>
      </c>
      <c r="B7" t="s">
        <v>29</v>
      </c>
      <c r="C7" t="s">
        <v>46</v>
      </c>
      <c r="D7" cm="1">
        <f t="array" ref="D7">_xlfn.IFS(SINGLE_RESPONSES[[#This Row],[Age]]="18 - 29",1, SINGLE_RESPONSES[[#This Row],[Age]]="30 - 41",2,SINGLE_RESPONSES[[#This Row],[Age]]="42 -53",3, SINGLE_RESPONSES[[#This Row],[Age]]="54 - 65",4, SINGLE_RESPONSES[[#This Row],[Age]]="66 and above",5)</f>
        <v>1</v>
      </c>
      <c r="E7" t="s">
        <v>31</v>
      </c>
      <c r="F7" t="s">
        <v>329</v>
      </c>
      <c r="G7" t="s">
        <v>32</v>
      </c>
      <c r="H7" t="s">
        <v>722</v>
      </c>
      <c r="I7" t="s">
        <v>369</v>
      </c>
      <c r="J7" t="s">
        <v>73</v>
      </c>
      <c r="K7" t="s">
        <v>39</v>
      </c>
      <c r="L7" t="s">
        <v>74</v>
      </c>
      <c r="M7">
        <v>9</v>
      </c>
      <c r="N7" t="s">
        <v>369</v>
      </c>
      <c r="O7" t="s">
        <v>43</v>
      </c>
      <c r="P7" t="s">
        <v>747</v>
      </c>
      <c r="Q7" t="s">
        <v>76</v>
      </c>
      <c r="R7">
        <v>10</v>
      </c>
    </row>
    <row r="8" spans="1:18" x14ac:dyDescent="0.25">
      <c r="A8" t="s">
        <v>77</v>
      </c>
      <c r="B8" t="s">
        <v>29</v>
      </c>
      <c r="C8" t="s">
        <v>46</v>
      </c>
      <c r="D8" cm="1">
        <f t="array" ref="D8">_xlfn.IFS(SINGLE_RESPONSES[[#This Row],[Age]]="18 - 29",1, SINGLE_RESPONSES[[#This Row],[Age]]="30 - 41",2,SINGLE_RESPONSES[[#This Row],[Age]]="42 -53",3, SINGLE_RESPONSES[[#This Row],[Age]]="54 - 65",4, SINGLE_RESPONSES[[#This Row],[Age]]="66 and above",5)</f>
        <v>1</v>
      </c>
      <c r="E8" t="s">
        <v>31</v>
      </c>
      <c r="F8" t="s">
        <v>32</v>
      </c>
      <c r="G8" t="s">
        <v>32</v>
      </c>
      <c r="H8" t="s">
        <v>720</v>
      </c>
      <c r="I8" t="s">
        <v>329</v>
      </c>
      <c r="J8" t="s">
        <v>79</v>
      </c>
      <c r="K8" t="s">
        <v>39</v>
      </c>
      <c r="L8" t="s">
        <v>80</v>
      </c>
      <c r="M8">
        <v>7</v>
      </c>
      <c r="N8" t="s">
        <v>746</v>
      </c>
      <c r="O8" t="s">
        <v>39</v>
      </c>
      <c r="P8" t="s">
        <v>329</v>
      </c>
      <c r="Q8" t="s">
        <v>82</v>
      </c>
      <c r="R8">
        <v>7</v>
      </c>
    </row>
    <row r="9" spans="1:18" x14ac:dyDescent="0.25">
      <c r="A9" t="s">
        <v>83</v>
      </c>
      <c r="B9" t="s">
        <v>84</v>
      </c>
      <c r="C9" t="s">
        <v>46</v>
      </c>
      <c r="D9" cm="1">
        <f t="array" ref="D9">_xlfn.IFS(SINGLE_RESPONSES[[#This Row],[Age]]="18 - 29",1, SINGLE_RESPONSES[[#This Row],[Age]]="30 - 41",2,SINGLE_RESPONSES[[#This Row],[Age]]="42 -53",3, SINGLE_RESPONSES[[#This Row],[Age]]="54 - 65",4, SINGLE_RESPONSES[[#This Row],[Age]]="66 and above",5)</f>
        <v>1</v>
      </c>
      <c r="E9" t="s">
        <v>31</v>
      </c>
      <c r="F9" t="s">
        <v>369</v>
      </c>
      <c r="G9" t="s">
        <v>369</v>
      </c>
      <c r="H9" t="s">
        <v>720</v>
      </c>
      <c r="I9" t="s">
        <v>329</v>
      </c>
      <c r="J9" t="s">
        <v>87</v>
      </c>
      <c r="K9" t="s">
        <v>39</v>
      </c>
      <c r="L9" t="s">
        <v>88</v>
      </c>
      <c r="M9">
        <v>9</v>
      </c>
      <c r="N9" t="s">
        <v>329</v>
      </c>
      <c r="O9" t="s">
        <v>89</v>
      </c>
      <c r="P9" t="s">
        <v>32</v>
      </c>
      <c r="Q9" t="s">
        <v>90</v>
      </c>
      <c r="R9">
        <v>10</v>
      </c>
    </row>
    <row r="10" spans="1:18" x14ac:dyDescent="0.25">
      <c r="A10" t="s">
        <v>91</v>
      </c>
      <c r="B10" t="s">
        <v>84</v>
      </c>
      <c r="C10" t="s">
        <v>46</v>
      </c>
      <c r="D10" cm="1">
        <f t="array" ref="D10">_xlfn.IFS(SINGLE_RESPONSES[[#This Row],[Age]]="18 - 29",1, SINGLE_RESPONSES[[#This Row],[Age]]="30 - 41",2,SINGLE_RESPONSES[[#This Row],[Age]]="42 -53",3, SINGLE_RESPONSES[[#This Row],[Age]]="54 - 65",4, SINGLE_RESPONSES[[#This Row],[Age]]="66 and above",5)</f>
        <v>1</v>
      </c>
      <c r="E10" t="s">
        <v>31</v>
      </c>
      <c r="F10" t="s">
        <v>329</v>
      </c>
      <c r="G10" t="s">
        <v>329</v>
      </c>
      <c r="H10" t="s">
        <v>718</v>
      </c>
      <c r="I10" t="s">
        <v>329</v>
      </c>
      <c r="J10" t="s">
        <v>745</v>
      </c>
      <c r="K10" t="s">
        <v>39</v>
      </c>
      <c r="L10" t="s">
        <v>95</v>
      </c>
      <c r="M10">
        <v>10</v>
      </c>
      <c r="N10" t="s">
        <v>746</v>
      </c>
      <c r="O10" t="s">
        <v>89</v>
      </c>
      <c r="P10" t="s">
        <v>747</v>
      </c>
      <c r="Q10" t="s">
        <v>97</v>
      </c>
      <c r="R10">
        <v>1</v>
      </c>
    </row>
    <row r="11" spans="1:18" x14ac:dyDescent="0.25">
      <c r="A11" t="s">
        <v>98</v>
      </c>
      <c r="B11" t="s">
        <v>29</v>
      </c>
      <c r="C11" t="s">
        <v>46</v>
      </c>
      <c r="D11" cm="1">
        <f t="array" ref="D11">_xlfn.IFS(SINGLE_RESPONSES[[#This Row],[Age]]="18 - 29",1, SINGLE_RESPONSES[[#This Row],[Age]]="30 - 41",2,SINGLE_RESPONSES[[#This Row],[Age]]="42 -53",3, SINGLE_RESPONSES[[#This Row],[Age]]="54 - 65",4, SINGLE_RESPONSES[[#This Row],[Age]]="66 and above",5)</f>
        <v>1</v>
      </c>
      <c r="E11" t="s">
        <v>31</v>
      </c>
      <c r="F11" t="s">
        <v>717</v>
      </c>
      <c r="G11" t="s">
        <v>717</v>
      </c>
      <c r="H11" t="s">
        <v>720</v>
      </c>
      <c r="I11" t="s">
        <v>32</v>
      </c>
      <c r="J11" t="s">
        <v>101</v>
      </c>
      <c r="K11" t="s">
        <v>39</v>
      </c>
      <c r="L11" t="s">
        <v>102</v>
      </c>
      <c r="M11">
        <v>8</v>
      </c>
      <c r="N11" t="s">
        <v>329</v>
      </c>
      <c r="O11" t="s">
        <v>89</v>
      </c>
      <c r="P11" t="s">
        <v>32</v>
      </c>
      <c r="Q11" t="s">
        <v>103</v>
      </c>
      <c r="R11">
        <v>5</v>
      </c>
    </row>
    <row r="12" spans="1:18" x14ac:dyDescent="0.25">
      <c r="A12" t="s">
        <v>104</v>
      </c>
      <c r="B12" t="s">
        <v>29</v>
      </c>
      <c r="C12" t="s">
        <v>46</v>
      </c>
      <c r="D12" cm="1">
        <f t="array" ref="D12">_xlfn.IFS(SINGLE_RESPONSES[[#This Row],[Age]]="18 - 29",1, SINGLE_RESPONSES[[#This Row],[Age]]="30 - 41",2,SINGLE_RESPONSES[[#This Row],[Age]]="42 -53",3, SINGLE_RESPONSES[[#This Row],[Age]]="54 - 65",4, SINGLE_RESPONSES[[#This Row],[Age]]="66 and above",5)</f>
        <v>1</v>
      </c>
      <c r="E12" t="s">
        <v>31</v>
      </c>
      <c r="F12" t="s">
        <v>329</v>
      </c>
      <c r="G12" t="s">
        <v>329</v>
      </c>
      <c r="H12" t="s">
        <v>718</v>
      </c>
      <c r="I12" t="s">
        <v>32</v>
      </c>
      <c r="J12" t="s">
        <v>106</v>
      </c>
      <c r="K12" t="s">
        <v>39</v>
      </c>
      <c r="L12" t="s">
        <v>107</v>
      </c>
      <c r="M12">
        <v>10</v>
      </c>
      <c r="N12" t="s">
        <v>369</v>
      </c>
      <c r="O12" t="s">
        <v>43</v>
      </c>
      <c r="P12" t="s">
        <v>747</v>
      </c>
      <c r="Q12" t="s">
        <v>108</v>
      </c>
      <c r="R12">
        <v>1</v>
      </c>
    </row>
    <row r="13" spans="1:18" x14ac:dyDescent="0.25">
      <c r="A13" t="s">
        <v>109</v>
      </c>
      <c r="B13" t="s">
        <v>84</v>
      </c>
      <c r="C13" t="s">
        <v>46</v>
      </c>
      <c r="D13" cm="1">
        <f t="array" ref="D13">_xlfn.IFS(SINGLE_RESPONSES[[#This Row],[Age]]="18 - 29",1, SINGLE_RESPONSES[[#This Row],[Age]]="30 - 41",2,SINGLE_RESPONSES[[#This Row],[Age]]="42 -53",3, SINGLE_RESPONSES[[#This Row],[Age]]="54 - 65",4, SINGLE_RESPONSES[[#This Row],[Age]]="66 and above",5)</f>
        <v>1</v>
      </c>
      <c r="E13" t="s">
        <v>31</v>
      </c>
      <c r="F13" t="s">
        <v>329</v>
      </c>
      <c r="G13" t="s">
        <v>32</v>
      </c>
      <c r="H13" t="s">
        <v>722</v>
      </c>
      <c r="I13" t="s">
        <v>329</v>
      </c>
      <c r="J13" t="s">
        <v>110</v>
      </c>
      <c r="K13" t="s">
        <v>39</v>
      </c>
      <c r="L13" t="s">
        <v>111</v>
      </c>
      <c r="M13">
        <v>8</v>
      </c>
      <c r="N13" t="s">
        <v>717</v>
      </c>
      <c r="O13" t="s">
        <v>43</v>
      </c>
      <c r="P13" t="s">
        <v>32</v>
      </c>
      <c r="Q13" t="s">
        <v>112</v>
      </c>
      <c r="R13">
        <v>9</v>
      </c>
    </row>
    <row r="14" spans="1:18" x14ac:dyDescent="0.25">
      <c r="A14" t="s">
        <v>113</v>
      </c>
      <c r="B14" t="s">
        <v>29</v>
      </c>
      <c r="C14" t="s">
        <v>46</v>
      </c>
      <c r="D14" cm="1">
        <f t="array" ref="D14">_xlfn.IFS(SINGLE_RESPONSES[[#This Row],[Age]]="18 - 29",1, SINGLE_RESPONSES[[#This Row],[Age]]="30 - 41",2,SINGLE_RESPONSES[[#This Row],[Age]]="42 -53",3, SINGLE_RESPONSES[[#This Row],[Age]]="54 - 65",4, SINGLE_RESPONSES[[#This Row],[Age]]="66 and above",5)</f>
        <v>1</v>
      </c>
      <c r="E14" t="s">
        <v>31</v>
      </c>
      <c r="F14" t="s">
        <v>32</v>
      </c>
      <c r="G14" t="s">
        <v>369</v>
      </c>
      <c r="H14" t="s">
        <v>720</v>
      </c>
      <c r="I14" t="s">
        <v>32</v>
      </c>
      <c r="J14" t="s">
        <v>115</v>
      </c>
      <c r="K14" t="s">
        <v>39</v>
      </c>
      <c r="L14" t="s">
        <v>116</v>
      </c>
      <c r="M14">
        <v>10</v>
      </c>
      <c r="N14" t="s">
        <v>746</v>
      </c>
      <c r="O14" t="s">
        <v>89</v>
      </c>
      <c r="P14" t="s">
        <v>32</v>
      </c>
      <c r="Q14" t="s">
        <v>118</v>
      </c>
      <c r="R14">
        <v>8</v>
      </c>
    </row>
    <row r="15" spans="1:18" x14ac:dyDescent="0.25">
      <c r="A15" t="s">
        <v>119</v>
      </c>
      <c r="B15" t="s">
        <v>29</v>
      </c>
      <c r="C15" t="s">
        <v>46</v>
      </c>
      <c r="D15" cm="1">
        <f t="array" ref="D15">_xlfn.IFS(SINGLE_RESPONSES[[#This Row],[Age]]="18 - 29",1, SINGLE_RESPONSES[[#This Row],[Age]]="30 - 41",2,SINGLE_RESPONSES[[#This Row],[Age]]="42 -53",3, SINGLE_RESPONSES[[#This Row],[Age]]="54 - 65",4, SINGLE_RESPONSES[[#This Row],[Age]]="66 and above",5)</f>
        <v>1</v>
      </c>
      <c r="E15" t="s">
        <v>31</v>
      </c>
      <c r="F15" t="s">
        <v>329</v>
      </c>
      <c r="G15" t="s">
        <v>329</v>
      </c>
      <c r="H15" t="s">
        <v>720</v>
      </c>
      <c r="I15" t="s">
        <v>329</v>
      </c>
      <c r="J15" t="s">
        <v>121</v>
      </c>
      <c r="K15" t="s">
        <v>39</v>
      </c>
      <c r="L15" t="s">
        <v>122</v>
      </c>
      <c r="M15">
        <v>7</v>
      </c>
      <c r="N15" t="s">
        <v>746</v>
      </c>
      <c r="O15" t="s">
        <v>43</v>
      </c>
      <c r="P15" t="s">
        <v>747</v>
      </c>
      <c r="Q15" t="s">
        <v>124</v>
      </c>
      <c r="R15">
        <v>2</v>
      </c>
    </row>
    <row r="16" spans="1:18" x14ac:dyDescent="0.25">
      <c r="A16" t="s">
        <v>125</v>
      </c>
      <c r="B16" t="s">
        <v>84</v>
      </c>
      <c r="C16" t="s">
        <v>126</v>
      </c>
      <c r="D16" cm="1">
        <f t="array" ref="D16">_xlfn.IFS(SINGLE_RESPONSES[[#This Row],[Age]]="18 - 29",1, SINGLE_RESPONSES[[#This Row],[Age]]="30 - 41",2,SINGLE_RESPONSES[[#This Row],[Age]]="42 -53",3, SINGLE_RESPONSES[[#This Row],[Age]]="54 - 65",4, SINGLE_RESPONSES[[#This Row],[Age]]="66 and above",5)</f>
        <v>3</v>
      </c>
      <c r="E16" t="s">
        <v>31</v>
      </c>
      <c r="F16" t="s">
        <v>329</v>
      </c>
      <c r="G16" t="s">
        <v>329</v>
      </c>
      <c r="H16" t="s">
        <v>720</v>
      </c>
      <c r="I16" t="s">
        <v>329</v>
      </c>
      <c r="J16" t="s">
        <v>128</v>
      </c>
      <c r="K16" t="s">
        <v>39</v>
      </c>
      <c r="L16" t="s">
        <v>129</v>
      </c>
      <c r="M16">
        <v>10</v>
      </c>
      <c r="N16" t="s">
        <v>32</v>
      </c>
      <c r="O16" t="s">
        <v>89</v>
      </c>
      <c r="P16" t="s">
        <v>747</v>
      </c>
      <c r="Q16" t="s">
        <v>130</v>
      </c>
      <c r="R16">
        <v>8</v>
      </c>
    </row>
    <row r="17" spans="1:18" x14ac:dyDescent="0.25">
      <c r="A17" t="s">
        <v>131</v>
      </c>
      <c r="B17" t="s">
        <v>29</v>
      </c>
      <c r="C17" t="s">
        <v>46</v>
      </c>
      <c r="D17" cm="1">
        <f t="array" ref="D17">_xlfn.IFS(SINGLE_RESPONSES[[#This Row],[Age]]="18 - 29",1, SINGLE_RESPONSES[[#This Row],[Age]]="30 - 41",2,SINGLE_RESPONSES[[#This Row],[Age]]="42 -53",3, SINGLE_RESPONSES[[#This Row],[Age]]="54 - 65",4, SINGLE_RESPONSES[[#This Row],[Age]]="66 and above",5)</f>
        <v>1</v>
      </c>
      <c r="E17" t="s">
        <v>31</v>
      </c>
      <c r="F17" t="s">
        <v>32</v>
      </c>
      <c r="G17" t="s">
        <v>717</v>
      </c>
      <c r="H17" t="s">
        <v>720</v>
      </c>
      <c r="I17" t="s">
        <v>32</v>
      </c>
      <c r="J17" t="s">
        <v>132</v>
      </c>
      <c r="K17" t="s">
        <v>43</v>
      </c>
      <c r="L17" t="s">
        <v>133</v>
      </c>
      <c r="M17">
        <v>7</v>
      </c>
      <c r="N17" t="s">
        <v>32</v>
      </c>
      <c r="O17" t="s">
        <v>89</v>
      </c>
      <c r="P17" t="s">
        <v>32</v>
      </c>
      <c r="Q17" t="s">
        <v>134</v>
      </c>
      <c r="R17">
        <v>5</v>
      </c>
    </row>
    <row r="18" spans="1:18" x14ac:dyDescent="0.25">
      <c r="A18" t="s">
        <v>135</v>
      </c>
      <c r="B18" t="s">
        <v>29</v>
      </c>
      <c r="C18" t="s">
        <v>46</v>
      </c>
      <c r="D18" cm="1">
        <f t="array" ref="D18">_xlfn.IFS(SINGLE_RESPONSES[[#This Row],[Age]]="18 - 29",1, SINGLE_RESPONSES[[#This Row],[Age]]="30 - 41",2,SINGLE_RESPONSES[[#This Row],[Age]]="42 -53",3, SINGLE_RESPONSES[[#This Row],[Age]]="54 - 65",4, SINGLE_RESPONSES[[#This Row],[Age]]="66 and above",5)</f>
        <v>1</v>
      </c>
      <c r="E18" t="s">
        <v>31</v>
      </c>
      <c r="F18" t="s">
        <v>329</v>
      </c>
      <c r="G18" t="s">
        <v>329</v>
      </c>
      <c r="H18" t="s">
        <v>718</v>
      </c>
      <c r="I18" t="s">
        <v>32</v>
      </c>
      <c r="J18" t="s">
        <v>137</v>
      </c>
      <c r="K18" t="s">
        <v>39</v>
      </c>
      <c r="L18" t="s">
        <v>138</v>
      </c>
      <c r="M18">
        <v>8</v>
      </c>
      <c r="N18" t="s">
        <v>746</v>
      </c>
      <c r="O18" t="s">
        <v>43</v>
      </c>
      <c r="P18" t="s">
        <v>747</v>
      </c>
      <c r="Q18" t="s">
        <v>140</v>
      </c>
      <c r="R18">
        <v>5</v>
      </c>
    </row>
    <row r="19" spans="1:18" x14ac:dyDescent="0.25">
      <c r="A19" t="s">
        <v>141</v>
      </c>
      <c r="B19" t="s">
        <v>84</v>
      </c>
      <c r="C19" t="s">
        <v>46</v>
      </c>
      <c r="D19" cm="1">
        <f t="array" ref="D19">_xlfn.IFS(SINGLE_RESPONSES[[#This Row],[Age]]="18 - 29",1, SINGLE_RESPONSES[[#This Row],[Age]]="30 - 41",2,SINGLE_RESPONSES[[#This Row],[Age]]="42 -53",3, SINGLE_RESPONSES[[#This Row],[Age]]="54 - 65",4, SINGLE_RESPONSES[[#This Row],[Age]]="66 and above",5)</f>
        <v>1</v>
      </c>
      <c r="E19" t="s">
        <v>31</v>
      </c>
      <c r="F19" t="s">
        <v>32</v>
      </c>
      <c r="G19" t="s">
        <v>32</v>
      </c>
      <c r="H19" t="s">
        <v>720</v>
      </c>
      <c r="I19" t="s">
        <v>329</v>
      </c>
      <c r="J19" t="s">
        <v>143</v>
      </c>
      <c r="K19" t="s">
        <v>39</v>
      </c>
      <c r="L19" t="s">
        <v>144</v>
      </c>
      <c r="M19">
        <v>10</v>
      </c>
      <c r="N19" t="s">
        <v>329</v>
      </c>
      <c r="O19" t="s">
        <v>89</v>
      </c>
      <c r="P19" t="s">
        <v>32</v>
      </c>
      <c r="Q19" t="s">
        <v>145</v>
      </c>
      <c r="R19">
        <v>5</v>
      </c>
    </row>
    <row r="20" spans="1:18" x14ac:dyDescent="0.25">
      <c r="A20" t="s">
        <v>146</v>
      </c>
      <c r="B20" t="s">
        <v>29</v>
      </c>
      <c r="C20" t="s">
        <v>46</v>
      </c>
      <c r="D20" cm="1">
        <f t="array" ref="D20">_xlfn.IFS(SINGLE_RESPONSES[[#This Row],[Age]]="18 - 29",1, SINGLE_RESPONSES[[#This Row],[Age]]="30 - 41",2,SINGLE_RESPONSES[[#This Row],[Age]]="42 -53",3, SINGLE_RESPONSES[[#This Row],[Age]]="54 - 65",4, SINGLE_RESPONSES[[#This Row],[Age]]="66 and above",5)</f>
        <v>1</v>
      </c>
      <c r="E20" t="s">
        <v>147</v>
      </c>
      <c r="F20" t="s">
        <v>329</v>
      </c>
      <c r="G20" t="s">
        <v>329</v>
      </c>
      <c r="H20" t="s">
        <v>720</v>
      </c>
      <c r="I20" t="s">
        <v>329</v>
      </c>
      <c r="J20" t="s">
        <v>149</v>
      </c>
      <c r="K20" t="s">
        <v>43</v>
      </c>
      <c r="L20" t="s">
        <v>150</v>
      </c>
      <c r="M20">
        <v>4</v>
      </c>
      <c r="N20" t="s">
        <v>448</v>
      </c>
      <c r="O20" t="s">
        <v>43</v>
      </c>
      <c r="P20" t="s">
        <v>747</v>
      </c>
      <c r="Q20" t="s">
        <v>152</v>
      </c>
      <c r="R20">
        <v>1</v>
      </c>
    </row>
    <row r="21" spans="1:18" x14ac:dyDescent="0.25">
      <c r="A21" t="s">
        <v>153</v>
      </c>
      <c r="B21" t="s">
        <v>84</v>
      </c>
      <c r="C21" t="s">
        <v>46</v>
      </c>
      <c r="D21" cm="1">
        <f t="array" ref="D21">_xlfn.IFS(SINGLE_RESPONSES[[#This Row],[Age]]="18 - 29",1, SINGLE_RESPONSES[[#This Row],[Age]]="30 - 41",2,SINGLE_RESPONSES[[#This Row],[Age]]="42 -53",3, SINGLE_RESPONSES[[#This Row],[Age]]="54 - 65",4, SINGLE_RESPONSES[[#This Row],[Age]]="66 and above",5)</f>
        <v>1</v>
      </c>
      <c r="E21" t="s">
        <v>31</v>
      </c>
      <c r="F21" t="s">
        <v>329</v>
      </c>
      <c r="G21" t="s">
        <v>329</v>
      </c>
      <c r="H21" t="s">
        <v>722</v>
      </c>
      <c r="I21" t="s">
        <v>329</v>
      </c>
      <c r="J21" t="s">
        <v>155</v>
      </c>
      <c r="K21" t="s">
        <v>39</v>
      </c>
      <c r="L21" t="s">
        <v>156</v>
      </c>
      <c r="M21">
        <v>4</v>
      </c>
      <c r="N21" t="s">
        <v>32</v>
      </c>
      <c r="O21" t="s">
        <v>43</v>
      </c>
      <c r="P21" t="s">
        <v>32</v>
      </c>
      <c r="Q21" t="s">
        <v>157</v>
      </c>
      <c r="R21">
        <v>3</v>
      </c>
    </row>
    <row r="22" spans="1:18" x14ac:dyDescent="0.25">
      <c r="A22" t="s">
        <v>158</v>
      </c>
      <c r="B22" t="s">
        <v>29</v>
      </c>
      <c r="C22" t="s">
        <v>46</v>
      </c>
      <c r="D22" cm="1">
        <f t="array" ref="D22">_xlfn.IFS(SINGLE_RESPONSES[[#This Row],[Age]]="18 - 29",1, SINGLE_RESPONSES[[#This Row],[Age]]="30 - 41",2,SINGLE_RESPONSES[[#This Row],[Age]]="42 -53",3, SINGLE_RESPONSES[[#This Row],[Age]]="54 - 65",4, SINGLE_RESPONSES[[#This Row],[Age]]="66 and above",5)</f>
        <v>1</v>
      </c>
      <c r="E22" t="s">
        <v>435</v>
      </c>
      <c r="F22" t="s">
        <v>329</v>
      </c>
      <c r="G22" t="s">
        <v>329</v>
      </c>
      <c r="H22" t="s">
        <v>716</v>
      </c>
      <c r="I22" t="s">
        <v>329</v>
      </c>
      <c r="J22" t="s">
        <v>162</v>
      </c>
      <c r="K22" t="s">
        <v>39</v>
      </c>
      <c r="L22" t="s">
        <v>163</v>
      </c>
      <c r="M22">
        <v>7</v>
      </c>
      <c r="N22" t="s">
        <v>369</v>
      </c>
      <c r="O22" t="s">
        <v>43</v>
      </c>
      <c r="P22" t="s">
        <v>747</v>
      </c>
      <c r="Q22" t="s">
        <v>75</v>
      </c>
      <c r="R22">
        <v>6</v>
      </c>
    </row>
    <row r="23" spans="1:18" x14ac:dyDescent="0.25">
      <c r="A23" t="s">
        <v>164</v>
      </c>
      <c r="B23" t="s">
        <v>29</v>
      </c>
      <c r="C23" t="s">
        <v>46</v>
      </c>
      <c r="D23" cm="1">
        <f t="array" ref="D23">_xlfn.IFS(SINGLE_RESPONSES[[#This Row],[Age]]="18 - 29",1, SINGLE_RESPONSES[[#This Row],[Age]]="30 - 41",2,SINGLE_RESPONSES[[#This Row],[Age]]="42 -53",3, SINGLE_RESPONSES[[#This Row],[Age]]="54 - 65",4, SINGLE_RESPONSES[[#This Row],[Age]]="66 and above",5)</f>
        <v>1</v>
      </c>
      <c r="E23" t="s">
        <v>165</v>
      </c>
      <c r="F23" t="s">
        <v>32</v>
      </c>
      <c r="G23" t="s">
        <v>329</v>
      </c>
      <c r="H23" t="s">
        <v>720</v>
      </c>
      <c r="I23" t="s">
        <v>329</v>
      </c>
      <c r="J23" t="s">
        <v>166</v>
      </c>
      <c r="K23" t="s">
        <v>39</v>
      </c>
      <c r="L23" t="s">
        <v>167</v>
      </c>
      <c r="M23">
        <v>10</v>
      </c>
      <c r="N23" t="s">
        <v>329</v>
      </c>
      <c r="O23" t="s">
        <v>89</v>
      </c>
      <c r="P23" t="s">
        <v>747</v>
      </c>
      <c r="Q23" t="s">
        <v>154</v>
      </c>
      <c r="R23">
        <v>8</v>
      </c>
    </row>
    <row r="24" spans="1:18" x14ac:dyDescent="0.25">
      <c r="A24" t="s">
        <v>168</v>
      </c>
      <c r="B24" t="s">
        <v>29</v>
      </c>
      <c r="C24" t="s">
        <v>46</v>
      </c>
      <c r="D24" cm="1">
        <f t="array" ref="D24">_xlfn.IFS(SINGLE_RESPONSES[[#This Row],[Age]]="18 - 29",1, SINGLE_RESPONSES[[#This Row],[Age]]="30 - 41",2,SINGLE_RESPONSES[[#This Row],[Age]]="42 -53",3, SINGLE_RESPONSES[[#This Row],[Age]]="54 - 65",4, SINGLE_RESPONSES[[#This Row],[Age]]="66 and above",5)</f>
        <v>1</v>
      </c>
      <c r="E24" t="s">
        <v>31</v>
      </c>
      <c r="F24" t="s">
        <v>329</v>
      </c>
      <c r="G24" t="s">
        <v>329</v>
      </c>
      <c r="H24" t="s">
        <v>720</v>
      </c>
      <c r="I24" t="s">
        <v>369</v>
      </c>
      <c r="J24" t="s">
        <v>169</v>
      </c>
      <c r="K24" t="s">
        <v>39</v>
      </c>
      <c r="L24" t="s">
        <v>170</v>
      </c>
      <c r="M24">
        <v>10</v>
      </c>
      <c r="N24" t="s">
        <v>369</v>
      </c>
      <c r="O24" t="s">
        <v>39</v>
      </c>
      <c r="P24" t="s">
        <v>32</v>
      </c>
      <c r="Q24" t="s">
        <v>171</v>
      </c>
      <c r="R24">
        <v>7</v>
      </c>
    </row>
    <row r="25" spans="1:18" x14ac:dyDescent="0.25">
      <c r="A25" t="s">
        <v>172</v>
      </c>
      <c r="B25" t="s">
        <v>29</v>
      </c>
      <c r="C25" t="s">
        <v>46</v>
      </c>
      <c r="D25" cm="1">
        <f t="array" ref="D25">_xlfn.IFS(SINGLE_RESPONSES[[#This Row],[Age]]="18 - 29",1, SINGLE_RESPONSES[[#This Row],[Age]]="30 - 41",2,SINGLE_RESPONSES[[#This Row],[Age]]="42 -53",3, SINGLE_RESPONSES[[#This Row],[Age]]="54 - 65",4, SINGLE_RESPONSES[[#This Row],[Age]]="66 and above",5)</f>
        <v>1</v>
      </c>
      <c r="E25" t="s">
        <v>173</v>
      </c>
      <c r="F25" t="s">
        <v>32</v>
      </c>
      <c r="G25" t="s">
        <v>32</v>
      </c>
      <c r="H25" t="s">
        <v>722</v>
      </c>
      <c r="I25" t="s">
        <v>32</v>
      </c>
      <c r="J25" t="s">
        <v>174</v>
      </c>
      <c r="K25" t="s">
        <v>39</v>
      </c>
      <c r="L25" t="s">
        <v>175</v>
      </c>
      <c r="M25">
        <v>9</v>
      </c>
      <c r="N25" t="s">
        <v>717</v>
      </c>
      <c r="P25" t="s">
        <v>329</v>
      </c>
      <c r="Q25" t="s">
        <v>176</v>
      </c>
      <c r="R25">
        <v>9</v>
      </c>
    </row>
    <row r="26" spans="1:18" x14ac:dyDescent="0.25">
      <c r="A26" t="s">
        <v>177</v>
      </c>
      <c r="B26" t="s">
        <v>84</v>
      </c>
      <c r="C26" t="s">
        <v>46</v>
      </c>
      <c r="D26" cm="1">
        <f t="array" ref="D26">_xlfn.IFS(SINGLE_RESPONSES[[#This Row],[Age]]="18 - 29",1, SINGLE_RESPONSES[[#This Row],[Age]]="30 - 41",2,SINGLE_RESPONSES[[#This Row],[Age]]="42 -53",3, SINGLE_RESPONSES[[#This Row],[Age]]="54 - 65",4, SINGLE_RESPONSES[[#This Row],[Age]]="66 and above",5)</f>
        <v>1</v>
      </c>
      <c r="E26" t="s">
        <v>31</v>
      </c>
      <c r="F26" t="s">
        <v>329</v>
      </c>
      <c r="G26" t="s">
        <v>329</v>
      </c>
      <c r="H26" t="s">
        <v>720</v>
      </c>
      <c r="I26" t="s">
        <v>329</v>
      </c>
      <c r="J26" t="s">
        <v>178</v>
      </c>
      <c r="K26" t="s">
        <v>39</v>
      </c>
      <c r="L26" t="s">
        <v>179</v>
      </c>
      <c r="M26">
        <v>10</v>
      </c>
      <c r="N26" t="s">
        <v>32</v>
      </c>
      <c r="O26" t="s">
        <v>43</v>
      </c>
      <c r="P26" t="s">
        <v>747</v>
      </c>
      <c r="Q26" t="s">
        <v>180</v>
      </c>
      <c r="R26">
        <v>1</v>
      </c>
    </row>
    <row r="27" spans="1:18" x14ac:dyDescent="0.25">
      <c r="A27" t="s">
        <v>181</v>
      </c>
      <c r="B27" t="s">
        <v>84</v>
      </c>
      <c r="C27" t="s">
        <v>46</v>
      </c>
      <c r="D27" cm="1">
        <f t="array" ref="D27">_xlfn.IFS(SINGLE_RESPONSES[[#This Row],[Age]]="18 - 29",1, SINGLE_RESPONSES[[#This Row],[Age]]="30 - 41",2,SINGLE_RESPONSES[[#This Row],[Age]]="42 -53",3, SINGLE_RESPONSES[[#This Row],[Age]]="54 - 65",4, SINGLE_RESPONSES[[#This Row],[Age]]="66 and above",5)</f>
        <v>1</v>
      </c>
      <c r="E27" t="s">
        <v>31</v>
      </c>
      <c r="F27" t="s">
        <v>329</v>
      </c>
      <c r="G27" t="s">
        <v>329</v>
      </c>
      <c r="H27" t="s">
        <v>716</v>
      </c>
      <c r="I27" t="s">
        <v>369</v>
      </c>
      <c r="J27" t="s">
        <v>183</v>
      </c>
      <c r="K27" t="s">
        <v>39</v>
      </c>
      <c r="L27" t="s">
        <v>184</v>
      </c>
      <c r="M27">
        <v>10</v>
      </c>
      <c r="N27" t="s">
        <v>32</v>
      </c>
      <c r="O27" t="s">
        <v>39</v>
      </c>
      <c r="P27" t="s">
        <v>329</v>
      </c>
      <c r="Q27" t="s">
        <v>185</v>
      </c>
      <c r="R27">
        <v>6</v>
      </c>
    </row>
    <row r="28" spans="1:18" x14ac:dyDescent="0.25">
      <c r="A28" t="s">
        <v>186</v>
      </c>
      <c r="B28" t="s">
        <v>84</v>
      </c>
      <c r="C28" t="s">
        <v>46</v>
      </c>
      <c r="D28" cm="1">
        <f t="array" ref="D28">_xlfn.IFS(SINGLE_RESPONSES[[#This Row],[Age]]="18 - 29",1, SINGLE_RESPONSES[[#This Row],[Age]]="30 - 41",2,SINGLE_RESPONSES[[#This Row],[Age]]="42 -53",3, SINGLE_RESPONSES[[#This Row],[Age]]="54 - 65",4, SINGLE_RESPONSES[[#This Row],[Age]]="66 and above",5)</f>
        <v>1</v>
      </c>
      <c r="E28" t="s">
        <v>31</v>
      </c>
      <c r="F28" t="s">
        <v>329</v>
      </c>
      <c r="G28" t="s">
        <v>32</v>
      </c>
      <c r="H28" t="s">
        <v>716</v>
      </c>
      <c r="I28" t="s">
        <v>329</v>
      </c>
      <c r="J28" t="s">
        <v>187</v>
      </c>
      <c r="K28" t="s">
        <v>39</v>
      </c>
      <c r="L28" t="s">
        <v>188</v>
      </c>
      <c r="M28">
        <v>9</v>
      </c>
      <c r="N28" t="s">
        <v>329</v>
      </c>
      <c r="O28" t="s">
        <v>43</v>
      </c>
      <c r="P28" t="s">
        <v>747</v>
      </c>
      <c r="Q28" t="s">
        <v>189</v>
      </c>
      <c r="R28">
        <v>1</v>
      </c>
    </row>
    <row r="29" spans="1:18" x14ac:dyDescent="0.25">
      <c r="A29" t="s">
        <v>190</v>
      </c>
      <c r="B29" t="s">
        <v>29</v>
      </c>
      <c r="C29" t="s">
        <v>46</v>
      </c>
      <c r="D29" cm="1">
        <f t="array" ref="D29">_xlfn.IFS(SINGLE_RESPONSES[[#This Row],[Age]]="18 - 29",1, SINGLE_RESPONSES[[#This Row],[Age]]="30 - 41",2,SINGLE_RESPONSES[[#This Row],[Age]]="42 -53",3, SINGLE_RESPONSES[[#This Row],[Age]]="54 - 65",4, SINGLE_RESPONSES[[#This Row],[Age]]="66 and above",5)</f>
        <v>1</v>
      </c>
      <c r="E29" t="s">
        <v>31</v>
      </c>
      <c r="F29" t="s">
        <v>32</v>
      </c>
      <c r="G29" t="s">
        <v>32</v>
      </c>
      <c r="H29" t="s">
        <v>720</v>
      </c>
      <c r="I29" t="s">
        <v>32</v>
      </c>
      <c r="J29" t="s">
        <v>192</v>
      </c>
      <c r="K29" t="s">
        <v>39</v>
      </c>
      <c r="L29" t="s">
        <v>193</v>
      </c>
      <c r="M29">
        <v>4</v>
      </c>
      <c r="N29" t="s">
        <v>369</v>
      </c>
      <c r="O29" t="s">
        <v>43</v>
      </c>
      <c r="P29" t="s">
        <v>32</v>
      </c>
      <c r="Q29" t="s">
        <v>194</v>
      </c>
      <c r="R29">
        <v>3</v>
      </c>
    </row>
    <row r="30" spans="1:18" x14ac:dyDescent="0.25">
      <c r="A30" t="s">
        <v>195</v>
      </c>
      <c r="B30" t="s">
        <v>84</v>
      </c>
      <c r="C30" t="s">
        <v>46</v>
      </c>
      <c r="D30" cm="1">
        <f t="array" ref="D30">_xlfn.IFS(SINGLE_RESPONSES[[#This Row],[Age]]="18 - 29",1, SINGLE_RESPONSES[[#This Row],[Age]]="30 - 41",2,SINGLE_RESPONSES[[#This Row],[Age]]="42 -53",3, SINGLE_RESPONSES[[#This Row],[Age]]="54 - 65",4, SINGLE_RESPONSES[[#This Row],[Age]]="66 and above",5)</f>
        <v>1</v>
      </c>
      <c r="E30" t="s">
        <v>748</v>
      </c>
      <c r="F30" t="s">
        <v>329</v>
      </c>
      <c r="G30" t="s">
        <v>329</v>
      </c>
      <c r="H30" t="s">
        <v>729</v>
      </c>
      <c r="I30" t="s">
        <v>329</v>
      </c>
      <c r="J30" t="s">
        <v>160</v>
      </c>
      <c r="K30" t="s">
        <v>39</v>
      </c>
      <c r="L30" t="s">
        <v>160</v>
      </c>
      <c r="M30">
        <v>1</v>
      </c>
      <c r="N30" t="s">
        <v>329</v>
      </c>
      <c r="O30" t="s">
        <v>39</v>
      </c>
      <c r="P30" t="s">
        <v>329</v>
      </c>
      <c r="Q30" t="s">
        <v>198</v>
      </c>
      <c r="R30">
        <v>1</v>
      </c>
    </row>
    <row r="31" spans="1:18" x14ac:dyDescent="0.25">
      <c r="A31" t="s">
        <v>199</v>
      </c>
      <c r="B31" t="s">
        <v>29</v>
      </c>
      <c r="C31" t="s">
        <v>46</v>
      </c>
      <c r="D31" cm="1">
        <f t="array" ref="D31">_xlfn.IFS(SINGLE_RESPONSES[[#This Row],[Age]]="18 - 29",1, SINGLE_RESPONSES[[#This Row],[Age]]="30 - 41",2,SINGLE_RESPONSES[[#This Row],[Age]]="42 -53",3, SINGLE_RESPONSES[[#This Row],[Age]]="54 - 65",4, SINGLE_RESPONSES[[#This Row],[Age]]="66 and above",5)</f>
        <v>1</v>
      </c>
      <c r="E31" t="s">
        <v>31</v>
      </c>
      <c r="F31" t="s">
        <v>329</v>
      </c>
      <c r="G31" t="s">
        <v>717</v>
      </c>
      <c r="H31" t="s">
        <v>722</v>
      </c>
      <c r="I31" t="s">
        <v>329</v>
      </c>
      <c r="J31" t="s">
        <v>200</v>
      </c>
      <c r="K31" t="s">
        <v>39</v>
      </c>
      <c r="L31" t="s">
        <v>201</v>
      </c>
      <c r="M31">
        <v>8</v>
      </c>
      <c r="N31" t="s">
        <v>329</v>
      </c>
      <c r="O31" t="s">
        <v>89</v>
      </c>
      <c r="P31" t="s">
        <v>32</v>
      </c>
      <c r="Q31" t="s">
        <v>202</v>
      </c>
      <c r="R31">
        <v>7</v>
      </c>
    </row>
    <row r="32" spans="1:18" x14ac:dyDescent="0.25">
      <c r="A32" t="s">
        <v>203</v>
      </c>
      <c r="B32" t="s">
        <v>84</v>
      </c>
      <c r="C32" t="s">
        <v>204</v>
      </c>
      <c r="D32" cm="1">
        <f t="array" ref="D32">_xlfn.IFS(SINGLE_RESPONSES[[#This Row],[Age]]="18 - 29",1, SINGLE_RESPONSES[[#This Row],[Age]]="30 - 41",2,SINGLE_RESPONSES[[#This Row],[Age]]="42 -53",3, SINGLE_RESPONSES[[#This Row],[Age]]="54 - 65",4, SINGLE_RESPONSES[[#This Row],[Age]]="66 and above",5)</f>
        <v>2</v>
      </c>
      <c r="E32" t="s">
        <v>31</v>
      </c>
      <c r="F32" t="s">
        <v>329</v>
      </c>
      <c r="G32" t="s">
        <v>329</v>
      </c>
      <c r="H32" t="s">
        <v>720</v>
      </c>
      <c r="I32" t="s">
        <v>329</v>
      </c>
      <c r="J32" t="s">
        <v>205</v>
      </c>
      <c r="K32" t="s">
        <v>39</v>
      </c>
      <c r="L32" t="s">
        <v>206</v>
      </c>
      <c r="M32">
        <v>9</v>
      </c>
      <c r="N32" t="s">
        <v>749</v>
      </c>
      <c r="O32" t="s">
        <v>43</v>
      </c>
      <c r="P32" t="s">
        <v>747</v>
      </c>
      <c r="Q32" t="s">
        <v>208</v>
      </c>
      <c r="R32">
        <v>5</v>
      </c>
    </row>
    <row r="33" spans="1:18" x14ac:dyDescent="0.25">
      <c r="A33" t="s">
        <v>209</v>
      </c>
      <c r="B33" t="s">
        <v>84</v>
      </c>
      <c r="C33" t="s">
        <v>46</v>
      </c>
      <c r="D33" cm="1">
        <f t="array" ref="D33">_xlfn.IFS(SINGLE_RESPONSES[[#This Row],[Age]]="18 - 29",1, SINGLE_RESPONSES[[#This Row],[Age]]="30 - 41",2,SINGLE_RESPONSES[[#This Row],[Age]]="42 -53",3, SINGLE_RESPONSES[[#This Row],[Age]]="54 - 65",4, SINGLE_RESPONSES[[#This Row],[Age]]="66 and above",5)</f>
        <v>1</v>
      </c>
      <c r="E33" t="s">
        <v>31</v>
      </c>
      <c r="F33" t="s">
        <v>717</v>
      </c>
      <c r="G33" t="s">
        <v>717</v>
      </c>
      <c r="H33" t="s">
        <v>720</v>
      </c>
      <c r="I33" t="s">
        <v>329</v>
      </c>
      <c r="J33" t="s">
        <v>211</v>
      </c>
      <c r="K33" t="s">
        <v>39</v>
      </c>
      <c r="L33" t="s">
        <v>212</v>
      </c>
      <c r="M33">
        <v>8</v>
      </c>
      <c r="N33" t="s">
        <v>749</v>
      </c>
      <c r="O33" t="s">
        <v>43</v>
      </c>
      <c r="P33" t="s">
        <v>747</v>
      </c>
      <c r="Q33" t="s">
        <v>214</v>
      </c>
      <c r="R33">
        <v>7</v>
      </c>
    </row>
    <row r="34" spans="1:18" x14ac:dyDescent="0.25">
      <c r="A34" t="s">
        <v>215</v>
      </c>
      <c r="B34" t="s">
        <v>29</v>
      </c>
      <c r="C34" t="s">
        <v>46</v>
      </c>
      <c r="D34" cm="1">
        <f t="array" ref="D34">_xlfn.IFS(SINGLE_RESPONSES[[#This Row],[Age]]="18 - 29",1, SINGLE_RESPONSES[[#This Row],[Age]]="30 - 41",2,SINGLE_RESPONSES[[#This Row],[Age]]="42 -53",3, SINGLE_RESPONSES[[#This Row],[Age]]="54 - 65",4, SINGLE_RESPONSES[[#This Row],[Age]]="66 and above",5)</f>
        <v>1</v>
      </c>
      <c r="E34" t="s">
        <v>31</v>
      </c>
      <c r="F34" t="s">
        <v>32</v>
      </c>
      <c r="G34" t="s">
        <v>717</v>
      </c>
      <c r="H34" t="s">
        <v>730</v>
      </c>
      <c r="I34" t="s">
        <v>717</v>
      </c>
      <c r="J34" t="s">
        <v>217</v>
      </c>
      <c r="K34" t="s">
        <v>39</v>
      </c>
      <c r="L34" t="s">
        <v>218</v>
      </c>
      <c r="M34">
        <v>1</v>
      </c>
      <c r="N34" t="s">
        <v>32</v>
      </c>
      <c r="O34" t="s">
        <v>43</v>
      </c>
      <c r="P34" t="s">
        <v>747</v>
      </c>
      <c r="Q34" t="s">
        <v>219</v>
      </c>
      <c r="R34">
        <v>4</v>
      </c>
    </row>
    <row r="35" spans="1:18" x14ac:dyDescent="0.25">
      <c r="A35" t="s">
        <v>220</v>
      </c>
      <c r="B35" t="s">
        <v>84</v>
      </c>
      <c r="C35" t="s">
        <v>126</v>
      </c>
      <c r="D35" cm="1">
        <f t="array" ref="D35">_xlfn.IFS(SINGLE_RESPONSES[[#This Row],[Age]]="18 - 29",1, SINGLE_RESPONSES[[#This Row],[Age]]="30 - 41",2,SINGLE_RESPONSES[[#This Row],[Age]]="42 -53",3, SINGLE_RESPONSES[[#This Row],[Age]]="54 - 65",4, SINGLE_RESPONSES[[#This Row],[Age]]="66 and above",5)</f>
        <v>3</v>
      </c>
      <c r="E35" t="s">
        <v>31</v>
      </c>
      <c r="F35" t="s">
        <v>329</v>
      </c>
      <c r="G35" t="s">
        <v>329</v>
      </c>
      <c r="H35" t="s">
        <v>729</v>
      </c>
      <c r="I35" t="s">
        <v>32</v>
      </c>
      <c r="J35" t="s">
        <v>222</v>
      </c>
      <c r="K35" t="s">
        <v>39</v>
      </c>
      <c r="L35" t="s">
        <v>223</v>
      </c>
      <c r="M35">
        <v>10</v>
      </c>
      <c r="N35" t="s">
        <v>32</v>
      </c>
      <c r="O35" t="s">
        <v>39</v>
      </c>
      <c r="P35" t="s">
        <v>32</v>
      </c>
      <c r="Q35" t="s">
        <v>224</v>
      </c>
      <c r="R35">
        <v>10</v>
      </c>
    </row>
    <row r="36" spans="1:18" x14ac:dyDescent="0.25">
      <c r="A36" t="s">
        <v>225</v>
      </c>
      <c r="B36" t="s">
        <v>29</v>
      </c>
      <c r="C36" t="s">
        <v>46</v>
      </c>
      <c r="D36" cm="1">
        <f t="array" ref="D36">_xlfn.IFS(SINGLE_RESPONSES[[#This Row],[Age]]="18 - 29",1, SINGLE_RESPONSES[[#This Row],[Age]]="30 - 41",2,SINGLE_RESPONSES[[#This Row],[Age]]="42 -53",3, SINGLE_RESPONSES[[#This Row],[Age]]="54 - 65",4, SINGLE_RESPONSES[[#This Row],[Age]]="66 and above",5)</f>
        <v>1</v>
      </c>
      <c r="E36" t="s">
        <v>750</v>
      </c>
      <c r="F36" t="s">
        <v>32</v>
      </c>
      <c r="G36" t="s">
        <v>32</v>
      </c>
      <c r="H36" t="s">
        <v>716</v>
      </c>
      <c r="I36" t="s">
        <v>329</v>
      </c>
      <c r="J36" t="s">
        <v>227</v>
      </c>
      <c r="K36" t="s">
        <v>39</v>
      </c>
      <c r="L36" t="s">
        <v>228</v>
      </c>
      <c r="M36">
        <v>7</v>
      </c>
      <c r="N36" t="s">
        <v>329</v>
      </c>
      <c r="O36" t="s">
        <v>89</v>
      </c>
      <c r="P36" t="s">
        <v>32</v>
      </c>
      <c r="Q36" t="s">
        <v>229</v>
      </c>
      <c r="R36">
        <v>7</v>
      </c>
    </row>
    <row r="37" spans="1:18" x14ac:dyDescent="0.25">
      <c r="A37" t="s">
        <v>230</v>
      </c>
      <c r="B37" t="s">
        <v>84</v>
      </c>
      <c r="C37" t="s">
        <v>46</v>
      </c>
      <c r="D37" cm="1">
        <f t="array" ref="D37">_xlfn.IFS(SINGLE_RESPONSES[[#This Row],[Age]]="18 - 29",1, SINGLE_RESPONSES[[#This Row],[Age]]="30 - 41",2,SINGLE_RESPONSES[[#This Row],[Age]]="42 -53",3, SINGLE_RESPONSES[[#This Row],[Age]]="54 - 65",4, SINGLE_RESPONSES[[#This Row],[Age]]="66 and above",5)</f>
        <v>1</v>
      </c>
      <c r="E37" t="s">
        <v>31</v>
      </c>
      <c r="F37" t="s">
        <v>329</v>
      </c>
      <c r="G37" t="s">
        <v>329</v>
      </c>
      <c r="H37" t="s">
        <v>718</v>
      </c>
      <c r="I37" t="s">
        <v>329</v>
      </c>
      <c r="J37" t="s">
        <v>231</v>
      </c>
      <c r="K37" t="s">
        <v>39</v>
      </c>
      <c r="L37" t="s">
        <v>68</v>
      </c>
      <c r="M37">
        <v>5</v>
      </c>
      <c r="N37" t="s">
        <v>369</v>
      </c>
      <c r="O37" t="s">
        <v>89</v>
      </c>
      <c r="P37" t="s">
        <v>747</v>
      </c>
      <c r="Q37" t="s">
        <v>232</v>
      </c>
      <c r="R37">
        <v>3</v>
      </c>
    </row>
    <row r="38" spans="1:18" x14ac:dyDescent="0.25">
      <c r="A38" t="s">
        <v>233</v>
      </c>
      <c r="B38" t="s">
        <v>29</v>
      </c>
      <c r="C38" t="s">
        <v>46</v>
      </c>
      <c r="D38" cm="1">
        <f t="array" ref="D38">_xlfn.IFS(SINGLE_RESPONSES[[#This Row],[Age]]="18 - 29",1, SINGLE_RESPONSES[[#This Row],[Age]]="30 - 41",2,SINGLE_RESPONSES[[#This Row],[Age]]="42 -53",3, SINGLE_RESPONSES[[#This Row],[Age]]="54 - 65",4, SINGLE_RESPONSES[[#This Row],[Age]]="66 and above",5)</f>
        <v>1</v>
      </c>
      <c r="E38" t="s">
        <v>751</v>
      </c>
      <c r="F38" t="s">
        <v>329</v>
      </c>
      <c r="G38" t="s">
        <v>329</v>
      </c>
      <c r="H38" t="s">
        <v>720</v>
      </c>
      <c r="I38" t="s">
        <v>329</v>
      </c>
      <c r="J38" t="s">
        <v>235</v>
      </c>
      <c r="K38" t="s">
        <v>43</v>
      </c>
      <c r="L38" t="s">
        <v>236</v>
      </c>
      <c r="M38">
        <v>1</v>
      </c>
      <c r="N38" t="s">
        <v>329</v>
      </c>
      <c r="O38" t="s">
        <v>39</v>
      </c>
      <c r="P38" t="s">
        <v>32</v>
      </c>
      <c r="Q38" t="s">
        <v>237</v>
      </c>
      <c r="R38">
        <v>1</v>
      </c>
    </row>
    <row r="39" spans="1:18" x14ac:dyDescent="0.25">
      <c r="A39" t="s">
        <v>238</v>
      </c>
      <c r="B39" t="s">
        <v>84</v>
      </c>
      <c r="C39" t="s">
        <v>204</v>
      </c>
      <c r="D39" cm="1">
        <f t="array" ref="D39">_xlfn.IFS(SINGLE_RESPONSES[[#This Row],[Age]]="18 - 29",1, SINGLE_RESPONSES[[#This Row],[Age]]="30 - 41",2,SINGLE_RESPONSES[[#This Row],[Age]]="42 -53",3, SINGLE_RESPONSES[[#This Row],[Age]]="54 - 65",4, SINGLE_RESPONSES[[#This Row],[Age]]="66 and above",5)</f>
        <v>2</v>
      </c>
      <c r="E39" t="s">
        <v>31</v>
      </c>
      <c r="F39" t="s">
        <v>329</v>
      </c>
      <c r="G39" t="s">
        <v>329</v>
      </c>
      <c r="H39" t="s">
        <v>716</v>
      </c>
      <c r="I39" t="s">
        <v>32</v>
      </c>
      <c r="J39" t="s">
        <v>239</v>
      </c>
      <c r="K39" t="s">
        <v>39</v>
      </c>
      <c r="L39" t="s">
        <v>240</v>
      </c>
      <c r="M39">
        <v>5</v>
      </c>
      <c r="N39" t="s">
        <v>32</v>
      </c>
      <c r="O39" t="s">
        <v>43</v>
      </c>
      <c r="P39" t="s">
        <v>747</v>
      </c>
      <c r="Q39" t="s">
        <v>241</v>
      </c>
      <c r="R39">
        <v>1</v>
      </c>
    </row>
    <row r="40" spans="1:18" x14ac:dyDescent="0.25">
      <c r="A40" t="s">
        <v>242</v>
      </c>
      <c r="B40" t="s">
        <v>84</v>
      </c>
      <c r="C40" t="s">
        <v>46</v>
      </c>
      <c r="D40" cm="1">
        <f t="array" ref="D40">_xlfn.IFS(SINGLE_RESPONSES[[#This Row],[Age]]="18 - 29",1, SINGLE_RESPONSES[[#This Row],[Age]]="30 - 41",2,SINGLE_RESPONSES[[#This Row],[Age]]="42 -53",3, SINGLE_RESPONSES[[#This Row],[Age]]="54 - 65",4, SINGLE_RESPONSES[[#This Row],[Age]]="66 and above",5)</f>
        <v>1</v>
      </c>
      <c r="E40" t="s">
        <v>31</v>
      </c>
      <c r="F40" t="s">
        <v>369</v>
      </c>
      <c r="G40" t="s">
        <v>369</v>
      </c>
      <c r="H40" t="s">
        <v>720</v>
      </c>
      <c r="I40" t="s">
        <v>369</v>
      </c>
      <c r="J40" t="s">
        <v>244</v>
      </c>
      <c r="K40" t="s">
        <v>39</v>
      </c>
      <c r="L40" t="s">
        <v>132</v>
      </c>
      <c r="M40">
        <v>9</v>
      </c>
      <c r="N40" t="s">
        <v>329</v>
      </c>
      <c r="O40" t="s">
        <v>89</v>
      </c>
      <c r="P40" t="s">
        <v>329</v>
      </c>
      <c r="Q40" t="s">
        <v>245</v>
      </c>
      <c r="R40">
        <v>6</v>
      </c>
    </row>
    <row r="41" spans="1:18" x14ac:dyDescent="0.25">
      <c r="A41" t="s">
        <v>246</v>
      </c>
      <c r="B41" t="s">
        <v>29</v>
      </c>
      <c r="C41" t="s">
        <v>46</v>
      </c>
      <c r="D41" cm="1">
        <f t="array" ref="D41">_xlfn.IFS(SINGLE_RESPONSES[[#This Row],[Age]]="18 - 29",1, SINGLE_RESPONSES[[#This Row],[Age]]="30 - 41",2,SINGLE_RESPONSES[[#This Row],[Age]]="42 -53",3, SINGLE_RESPONSES[[#This Row],[Age]]="54 - 65",4, SINGLE_RESPONSES[[#This Row],[Age]]="66 and above",5)</f>
        <v>1</v>
      </c>
      <c r="E41" t="s">
        <v>31</v>
      </c>
      <c r="F41" t="s">
        <v>369</v>
      </c>
      <c r="G41" t="s">
        <v>369</v>
      </c>
      <c r="H41" t="s">
        <v>720</v>
      </c>
      <c r="I41" t="s">
        <v>369</v>
      </c>
      <c r="J41" t="s">
        <v>248</v>
      </c>
      <c r="K41" t="s">
        <v>39</v>
      </c>
      <c r="L41" t="s">
        <v>249</v>
      </c>
      <c r="M41">
        <v>10</v>
      </c>
      <c r="N41" t="s">
        <v>329</v>
      </c>
      <c r="O41" t="s">
        <v>39</v>
      </c>
      <c r="P41" t="s">
        <v>32</v>
      </c>
      <c r="Q41" t="s">
        <v>250</v>
      </c>
      <c r="R41">
        <v>9</v>
      </c>
    </row>
    <row r="42" spans="1:18" x14ac:dyDescent="0.25">
      <c r="A42" t="s">
        <v>251</v>
      </c>
      <c r="B42" t="s">
        <v>84</v>
      </c>
      <c r="C42" t="s">
        <v>46</v>
      </c>
      <c r="D42" cm="1">
        <f t="array" ref="D42">_xlfn.IFS(SINGLE_RESPONSES[[#This Row],[Age]]="18 - 29",1, SINGLE_RESPONSES[[#This Row],[Age]]="30 - 41",2,SINGLE_RESPONSES[[#This Row],[Age]]="42 -53",3, SINGLE_RESPONSES[[#This Row],[Age]]="54 - 65",4, SINGLE_RESPONSES[[#This Row],[Age]]="66 and above",5)</f>
        <v>1</v>
      </c>
      <c r="E42" t="s">
        <v>31</v>
      </c>
      <c r="F42" t="s">
        <v>32</v>
      </c>
      <c r="G42" t="s">
        <v>32</v>
      </c>
      <c r="H42" t="s">
        <v>729</v>
      </c>
      <c r="I42" t="s">
        <v>32</v>
      </c>
      <c r="J42" t="s">
        <v>252</v>
      </c>
      <c r="K42" t="s">
        <v>39</v>
      </c>
      <c r="L42" t="s">
        <v>253</v>
      </c>
      <c r="M42">
        <v>8</v>
      </c>
      <c r="N42" t="s">
        <v>329</v>
      </c>
      <c r="O42" t="s">
        <v>43</v>
      </c>
      <c r="P42" t="s">
        <v>32</v>
      </c>
      <c r="Q42" t="s">
        <v>254</v>
      </c>
      <c r="R42">
        <v>5</v>
      </c>
    </row>
    <row r="43" spans="1:18" x14ac:dyDescent="0.25">
      <c r="A43" t="s">
        <v>255</v>
      </c>
      <c r="B43" t="s">
        <v>29</v>
      </c>
      <c r="C43" t="s">
        <v>46</v>
      </c>
      <c r="D43" cm="1">
        <f t="array" ref="D43">_xlfn.IFS(SINGLE_RESPONSES[[#This Row],[Age]]="18 - 29",1, SINGLE_RESPONSES[[#This Row],[Age]]="30 - 41",2,SINGLE_RESPONSES[[#This Row],[Age]]="42 -53",3, SINGLE_RESPONSES[[#This Row],[Age]]="54 - 65",4, SINGLE_RESPONSES[[#This Row],[Age]]="66 and above",5)</f>
        <v>1</v>
      </c>
      <c r="E43" t="s">
        <v>31</v>
      </c>
      <c r="F43" t="s">
        <v>329</v>
      </c>
      <c r="G43" t="s">
        <v>329</v>
      </c>
      <c r="H43" t="s">
        <v>720</v>
      </c>
      <c r="I43" t="s">
        <v>717</v>
      </c>
      <c r="J43" t="s">
        <v>256</v>
      </c>
      <c r="K43" t="s">
        <v>39</v>
      </c>
      <c r="L43" t="s">
        <v>257</v>
      </c>
      <c r="M43">
        <v>1</v>
      </c>
      <c r="N43" t="s">
        <v>32</v>
      </c>
      <c r="O43" t="s">
        <v>39</v>
      </c>
      <c r="P43" t="s">
        <v>32</v>
      </c>
      <c r="Q43" t="s">
        <v>258</v>
      </c>
      <c r="R43">
        <v>3</v>
      </c>
    </row>
    <row r="44" spans="1:18" x14ac:dyDescent="0.25">
      <c r="A44" t="s">
        <v>259</v>
      </c>
      <c r="B44" t="s">
        <v>29</v>
      </c>
      <c r="C44" t="s">
        <v>46</v>
      </c>
      <c r="D44" cm="1">
        <f t="array" ref="D44">_xlfn.IFS(SINGLE_RESPONSES[[#This Row],[Age]]="18 - 29",1, SINGLE_RESPONSES[[#This Row],[Age]]="30 - 41",2,SINGLE_RESPONSES[[#This Row],[Age]]="42 -53",3, SINGLE_RESPONSES[[#This Row],[Age]]="54 - 65",4, SINGLE_RESPONSES[[#This Row],[Age]]="66 and above",5)</f>
        <v>1</v>
      </c>
      <c r="E44" t="s">
        <v>31</v>
      </c>
      <c r="F44" t="s">
        <v>329</v>
      </c>
      <c r="G44" t="s">
        <v>329</v>
      </c>
      <c r="H44" t="s">
        <v>720</v>
      </c>
      <c r="I44" t="s">
        <v>32</v>
      </c>
      <c r="J44" t="s">
        <v>260</v>
      </c>
      <c r="K44" t="s">
        <v>39</v>
      </c>
      <c r="L44" t="s">
        <v>261</v>
      </c>
      <c r="M44">
        <v>10</v>
      </c>
      <c r="N44" t="s">
        <v>32</v>
      </c>
      <c r="O44" t="s">
        <v>39</v>
      </c>
      <c r="P44" t="s">
        <v>329</v>
      </c>
      <c r="Q44" t="s">
        <v>262</v>
      </c>
      <c r="R44">
        <v>10</v>
      </c>
    </row>
    <row r="45" spans="1:18" x14ac:dyDescent="0.25">
      <c r="A45" t="s">
        <v>263</v>
      </c>
      <c r="B45" t="s">
        <v>29</v>
      </c>
      <c r="C45" t="s">
        <v>204</v>
      </c>
      <c r="D45" cm="1">
        <f t="array" ref="D45">_xlfn.IFS(SINGLE_RESPONSES[[#This Row],[Age]]="18 - 29",1, SINGLE_RESPONSES[[#This Row],[Age]]="30 - 41",2,SINGLE_RESPONSES[[#This Row],[Age]]="42 -53",3, SINGLE_RESPONSES[[#This Row],[Age]]="54 - 65",4, SINGLE_RESPONSES[[#This Row],[Age]]="66 and above",5)</f>
        <v>2</v>
      </c>
      <c r="E45" t="s">
        <v>31</v>
      </c>
      <c r="F45" t="s">
        <v>329</v>
      </c>
      <c r="G45" t="s">
        <v>329</v>
      </c>
      <c r="H45" t="s">
        <v>720</v>
      </c>
      <c r="I45" t="s">
        <v>32</v>
      </c>
      <c r="J45" t="s">
        <v>264</v>
      </c>
      <c r="K45" t="s">
        <v>39</v>
      </c>
      <c r="L45" t="s">
        <v>265</v>
      </c>
      <c r="M45">
        <v>9</v>
      </c>
      <c r="N45" t="s">
        <v>32</v>
      </c>
      <c r="O45" t="s">
        <v>43</v>
      </c>
      <c r="P45" t="s">
        <v>747</v>
      </c>
      <c r="Q45" t="s">
        <v>266</v>
      </c>
      <c r="R45">
        <v>5</v>
      </c>
    </row>
    <row r="46" spans="1:18" x14ac:dyDescent="0.25">
      <c r="A46" t="s">
        <v>267</v>
      </c>
      <c r="B46" t="s">
        <v>84</v>
      </c>
      <c r="C46" t="s">
        <v>126</v>
      </c>
      <c r="D46" cm="1">
        <f t="array" ref="D46">_xlfn.IFS(SINGLE_RESPONSES[[#This Row],[Age]]="18 - 29",1, SINGLE_RESPONSES[[#This Row],[Age]]="30 - 41",2,SINGLE_RESPONSES[[#This Row],[Age]]="42 -53",3, SINGLE_RESPONSES[[#This Row],[Age]]="54 - 65",4, SINGLE_RESPONSES[[#This Row],[Age]]="66 and above",5)</f>
        <v>3</v>
      </c>
      <c r="E46" t="s">
        <v>31</v>
      </c>
      <c r="F46" t="s">
        <v>32</v>
      </c>
      <c r="G46" t="s">
        <v>32</v>
      </c>
      <c r="H46" t="s">
        <v>720</v>
      </c>
      <c r="I46" t="s">
        <v>329</v>
      </c>
      <c r="J46" t="s">
        <v>269</v>
      </c>
      <c r="K46" t="s">
        <v>39</v>
      </c>
      <c r="L46" t="s">
        <v>270</v>
      </c>
      <c r="M46">
        <v>8</v>
      </c>
      <c r="N46" t="s">
        <v>329</v>
      </c>
      <c r="O46" t="s">
        <v>89</v>
      </c>
      <c r="P46" t="s">
        <v>747</v>
      </c>
      <c r="Q46" t="s">
        <v>271</v>
      </c>
      <c r="R46">
        <v>6</v>
      </c>
    </row>
    <row r="47" spans="1:18" x14ac:dyDescent="0.25">
      <c r="A47" t="s">
        <v>259</v>
      </c>
      <c r="B47" t="s">
        <v>29</v>
      </c>
      <c r="C47" t="s">
        <v>46</v>
      </c>
      <c r="D47" cm="1">
        <f t="array" ref="D47">_xlfn.IFS(SINGLE_RESPONSES[[#This Row],[Age]]="18 - 29",1, SINGLE_RESPONSES[[#This Row],[Age]]="30 - 41",2,SINGLE_RESPONSES[[#This Row],[Age]]="42 -53",3, SINGLE_RESPONSES[[#This Row],[Age]]="54 - 65",4, SINGLE_RESPONSES[[#This Row],[Age]]="66 and above",5)</f>
        <v>1</v>
      </c>
      <c r="E47" t="s">
        <v>31</v>
      </c>
      <c r="F47" t="s">
        <v>329</v>
      </c>
      <c r="G47" t="s">
        <v>329</v>
      </c>
      <c r="H47" t="s">
        <v>720</v>
      </c>
      <c r="I47" t="s">
        <v>32</v>
      </c>
      <c r="J47" t="s">
        <v>272</v>
      </c>
      <c r="K47" t="s">
        <v>39</v>
      </c>
      <c r="L47" t="s">
        <v>273</v>
      </c>
      <c r="M47">
        <v>10</v>
      </c>
      <c r="N47" t="s">
        <v>746</v>
      </c>
      <c r="O47" t="s">
        <v>89</v>
      </c>
      <c r="P47" t="s">
        <v>747</v>
      </c>
      <c r="Q47" t="s">
        <v>275</v>
      </c>
      <c r="R47">
        <v>1</v>
      </c>
    </row>
    <row r="48" spans="1:18" x14ac:dyDescent="0.25">
      <c r="A48" t="s">
        <v>276</v>
      </c>
      <c r="B48" t="s">
        <v>29</v>
      </c>
      <c r="C48" t="s">
        <v>46</v>
      </c>
      <c r="D48" cm="1">
        <f t="array" ref="D48">_xlfn.IFS(SINGLE_RESPONSES[[#This Row],[Age]]="18 - 29",1, SINGLE_RESPONSES[[#This Row],[Age]]="30 - 41",2,SINGLE_RESPONSES[[#This Row],[Age]]="42 -53",3, SINGLE_RESPONSES[[#This Row],[Age]]="54 - 65",4, SINGLE_RESPONSES[[#This Row],[Age]]="66 and above",5)</f>
        <v>1</v>
      </c>
      <c r="E48" t="s">
        <v>31</v>
      </c>
      <c r="F48" t="s">
        <v>32</v>
      </c>
      <c r="G48" t="s">
        <v>32</v>
      </c>
      <c r="H48" t="s">
        <v>720</v>
      </c>
      <c r="I48" t="s">
        <v>717</v>
      </c>
      <c r="J48" t="s">
        <v>277</v>
      </c>
      <c r="K48" t="s">
        <v>39</v>
      </c>
      <c r="L48" t="s">
        <v>278</v>
      </c>
      <c r="M48">
        <v>10</v>
      </c>
      <c r="N48" t="s">
        <v>329</v>
      </c>
      <c r="O48" t="s">
        <v>43</v>
      </c>
      <c r="P48" t="s">
        <v>747</v>
      </c>
      <c r="Q48" t="s">
        <v>279</v>
      </c>
      <c r="R48">
        <v>5</v>
      </c>
    </row>
    <row r="49" spans="1:18" x14ac:dyDescent="0.25">
      <c r="A49" t="s">
        <v>280</v>
      </c>
      <c r="B49" t="s">
        <v>29</v>
      </c>
      <c r="C49" t="s">
        <v>204</v>
      </c>
      <c r="D49" cm="1">
        <f t="array" ref="D49">_xlfn.IFS(SINGLE_RESPONSES[[#This Row],[Age]]="18 - 29",1, SINGLE_RESPONSES[[#This Row],[Age]]="30 - 41",2,SINGLE_RESPONSES[[#This Row],[Age]]="42 -53",3, SINGLE_RESPONSES[[#This Row],[Age]]="54 - 65",4, SINGLE_RESPONSES[[#This Row],[Age]]="66 and above",5)</f>
        <v>2</v>
      </c>
      <c r="E49" t="s">
        <v>31</v>
      </c>
      <c r="F49" t="s">
        <v>32</v>
      </c>
      <c r="G49" t="s">
        <v>32</v>
      </c>
      <c r="H49" t="s">
        <v>720</v>
      </c>
      <c r="I49" t="s">
        <v>329</v>
      </c>
      <c r="J49" t="s">
        <v>282</v>
      </c>
      <c r="K49" t="s">
        <v>39</v>
      </c>
      <c r="L49" t="s">
        <v>283</v>
      </c>
      <c r="M49">
        <v>10</v>
      </c>
      <c r="N49" t="s">
        <v>329</v>
      </c>
      <c r="O49" t="s">
        <v>39</v>
      </c>
      <c r="P49" t="s">
        <v>32</v>
      </c>
      <c r="Q49" t="s">
        <v>284</v>
      </c>
      <c r="R49">
        <v>6</v>
      </c>
    </row>
    <row r="50" spans="1:18" x14ac:dyDescent="0.25">
      <c r="A50" t="s">
        <v>285</v>
      </c>
      <c r="B50" t="s">
        <v>29</v>
      </c>
      <c r="C50" t="s">
        <v>46</v>
      </c>
      <c r="D50" cm="1">
        <f t="array" ref="D50">_xlfn.IFS(SINGLE_RESPONSES[[#This Row],[Age]]="18 - 29",1, SINGLE_RESPONSES[[#This Row],[Age]]="30 - 41",2,SINGLE_RESPONSES[[#This Row],[Age]]="42 -53",3, SINGLE_RESPONSES[[#This Row],[Age]]="54 - 65",4, SINGLE_RESPONSES[[#This Row],[Age]]="66 and above",5)</f>
        <v>1</v>
      </c>
      <c r="E50" t="s">
        <v>31</v>
      </c>
      <c r="F50" t="s">
        <v>32</v>
      </c>
      <c r="G50" t="s">
        <v>32</v>
      </c>
      <c r="H50" t="s">
        <v>720</v>
      </c>
      <c r="I50" t="s">
        <v>329</v>
      </c>
      <c r="J50" t="s">
        <v>286</v>
      </c>
      <c r="K50" t="s">
        <v>39</v>
      </c>
      <c r="L50" t="s">
        <v>287</v>
      </c>
      <c r="M50">
        <v>8</v>
      </c>
      <c r="N50" t="s">
        <v>746</v>
      </c>
      <c r="O50" t="s">
        <v>39</v>
      </c>
      <c r="P50" t="s">
        <v>329</v>
      </c>
      <c r="Q50" t="s">
        <v>174</v>
      </c>
      <c r="R50">
        <v>3</v>
      </c>
    </row>
    <row r="51" spans="1:18" x14ac:dyDescent="0.25">
      <c r="A51" t="s">
        <v>289</v>
      </c>
      <c r="B51" t="s">
        <v>84</v>
      </c>
      <c r="C51" t="s">
        <v>46</v>
      </c>
      <c r="D51" cm="1">
        <f t="array" ref="D51">_xlfn.IFS(SINGLE_RESPONSES[[#This Row],[Age]]="18 - 29",1, SINGLE_RESPONSES[[#This Row],[Age]]="30 - 41",2,SINGLE_RESPONSES[[#This Row],[Age]]="42 -53",3, SINGLE_RESPONSES[[#This Row],[Age]]="54 - 65",4, SINGLE_RESPONSES[[#This Row],[Age]]="66 and above",5)</f>
        <v>1</v>
      </c>
      <c r="E51" t="s">
        <v>31</v>
      </c>
      <c r="F51" t="s">
        <v>32</v>
      </c>
      <c r="G51" t="s">
        <v>32</v>
      </c>
      <c r="H51" t="s">
        <v>718</v>
      </c>
      <c r="I51" t="s">
        <v>717</v>
      </c>
      <c r="J51" t="s">
        <v>290</v>
      </c>
      <c r="K51" t="s">
        <v>39</v>
      </c>
      <c r="L51" t="s">
        <v>291</v>
      </c>
      <c r="M51">
        <v>7</v>
      </c>
      <c r="N51" t="s">
        <v>32</v>
      </c>
      <c r="O51" t="s">
        <v>39</v>
      </c>
      <c r="P51" t="s">
        <v>32</v>
      </c>
      <c r="Q51" t="s">
        <v>292</v>
      </c>
      <c r="R51">
        <v>3</v>
      </c>
    </row>
    <row r="52" spans="1:18" x14ac:dyDescent="0.25">
      <c r="A52" t="s">
        <v>293</v>
      </c>
      <c r="B52" t="s">
        <v>29</v>
      </c>
      <c r="C52" t="s">
        <v>46</v>
      </c>
      <c r="D52" cm="1">
        <f t="array" ref="D52">_xlfn.IFS(SINGLE_RESPONSES[[#This Row],[Age]]="18 - 29",1, SINGLE_RESPONSES[[#This Row],[Age]]="30 - 41",2,SINGLE_RESPONSES[[#This Row],[Age]]="42 -53",3, SINGLE_RESPONSES[[#This Row],[Age]]="54 - 65",4, SINGLE_RESPONSES[[#This Row],[Age]]="66 and above",5)</f>
        <v>1</v>
      </c>
      <c r="E52" t="s">
        <v>31</v>
      </c>
      <c r="F52" t="s">
        <v>717</v>
      </c>
      <c r="G52" t="s">
        <v>717</v>
      </c>
      <c r="H52" t="s">
        <v>722</v>
      </c>
      <c r="I52" t="s">
        <v>32</v>
      </c>
      <c r="J52" t="s">
        <v>294</v>
      </c>
      <c r="K52" t="s">
        <v>39</v>
      </c>
      <c r="L52" t="s">
        <v>295</v>
      </c>
      <c r="M52">
        <v>3</v>
      </c>
      <c r="N52" t="s">
        <v>32</v>
      </c>
      <c r="O52" t="s">
        <v>43</v>
      </c>
      <c r="P52" t="s">
        <v>747</v>
      </c>
      <c r="Q52" t="s">
        <v>296</v>
      </c>
      <c r="R52">
        <v>1</v>
      </c>
    </row>
    <row r="53" spans="1:18" x14ac:dyDescent="0.25">
      <c r="A53" t="s">
        <v>52</v>
      </c>
      <c r="B53" t="s">
        <v>29</v>
      </c>
      <c r="C53" t="s">
        <v>46</v>
      </c>
      <c r="D53" cm="1">
        <f t="array" ref="D53">_xlfn.IFS(SINGLE_RESPONSES[[#This Row],[Age]]="18 - 29",1, SINGLE_RESPONSES[[#This Row],[Age]]="30 - 41",2,SINGLE_RESPONSES[[#This Row],[Age]]="42 -53",3, SINGLE_RESPONSES[[#This Row],[Age]]="54 - 65",4, SINGLE_RESPONSES[[#This Row],[Age]]="66 and above",5)</f>
        <v>1</v>
      </c>
      <c r="E53" t="s">
        <v>31</v>
      </c>
      <c r="F53" t="s">
        <v>32</v>
      </c>
      <c r="G53" t="s">
        <v>717</v>
      </c>
      <c r="H53" t="s">
        <v>730</v>
      </c>
      <c r="I53" t="s">
        <v>32</v>
      </c>
      <c r="J53" t="s">
        <v>297</v>
      </c>
      <c r="K53" t="s">
        <v>39</v>
      </c>
      <c r="L53" t="s">
        <v>74</v>
      </c>
      <c r="M53">
        <v>10</v>
      </c>
      <c r="N53" t="s">
        <v>752</v>
      </c>
      <c r="O53" t="s">
        <v>39</v>
      </c>
      <c r="P53" t="s">
        <v>32</v>
      </c>
      <c r="Q53" t="s">
        <v>299</v>
      </c>
      <c r="R53">
        <v>10</v>
      </c>
    </row>
    <row r="54" spans="1:18" x14ac:dyDescent="0.25">
      <c r="A54" t="s">
        <v>300</v>
      </c>
      <c r="B54" t="s">
        <v>29</v>
      </c>
      <c r="C54" t="s">
        <v>46</v>
      </c>
      <c r="D54" cm="1">
        <f t="array" ref="D54">_xlfn.IFS(SINGLE_RESPONSES[[#This Row],[Age]]="18 - 29",1, SINGLE_RESPONSES[[#This Row],[Age]]="30 - 41",2,SINGLE_RESPONSES[[#This Row],[Age]]="42 -53",3, SINGLE_RESPONSES[[#This Row],[Age]]="54 - 65",4, SINGLE_RESPONSES[[#This Row],[Age]]="66 and above",5)</f>
        <v>1</v>
      </c>
      <c r="E54" t="s">
        <v>31</v>
      </c>
      <c r="F54" t="s">
        <v>329</v>
      </c>
      <c r="G54" t="s">
        <v>329</v>
      </c>
      <c r="H54" t="s">
        <v>716</v>
      </c>
      <c r="I54" t="s">
        <v>32</v>
      </c>
      <c r="J54" t="s">
        <v>303</v>
      </c>
      <c r="K54" t="s">
        <v>39</v>
      </c>
      <c r="L54" t="s">
        <v>304</v>
      </c>
      <c r="M54">
        <v>9</v>
      </c>
      <c r="N54" t="s">
        <v>369</v>
      </c>
      <c r="O54" t="s">
        <v>39</v>
      </c>
      <c r="P54" t="s">
        <v>32</v>
      </c>
      <c r="Q54" t="s">
        <v>305</v>
      </c>
      <c r="R54">
        <v>9</v>
      </c>
    </row>
    <row r="55" spans="1:18" x14ac:dyDescent="0.25">
      <c r="A55" t="s">
        <v>306</v>
      </c>
      <c r="B55" t="s">
        <v>84</v>
      </c>
      <c r="C55" t="s">
        <v>126</v>
      </c>
      <c r="D55" cm="1">
        <f t="array" ref="D55">_xlfn.IFS(SINGLE_RESPONSES[[#This Row],[Age]]="18 - 29",1, SINGLE_RESPONSES[[#This Row],[Age]]="30 - 41",2,SINGLE_RESPONSES[[#This Row],[Age]]="42 -53",3, SINGLE_RESPONSES[[#This Row],[Age]]="54 - 65",4, SINGLE_RESPONSES[[#This Row],[Age]]="66 and above",5)</f>
        <v>3</v>
      </c>
      <c r="E55" t="s">
        <v>31</v>
      </c>
      <c r="F55" t="s">
        <v>32</v>
      </c>
      <c r="G55" t="s">
        <v>32</v>
      </c>
      <c r="H55" t="s">
        <v>716</v>
      </c>
      <c r="I55" t="s">
        <v>32</v>
      </c>
      <c r="J55" t="s">
        <v>308</v>
      </c>
      <c r="K55" t="s">
        <v>39</v>
      </c>
      <c r="L55" t="s">
        <v>309</v>
      </c>
      <c r="M55">
        <v>10</v>
      </c>
      <c r="N55" t="s">
        <v>717</v>
      </c>
      <c r="O55" t="s">
        <v>39</v>
      </c>
      <c r="P55" t="s">
        <v>32</v>
      </c>
      <c r="Q55" t="s">
        <v>310</v>
      </c>
      <c r="R55">
        <v>10</v>
      </c>
    </row>
    <row r="56" spans="1:18" x14ac:dyDescent="0.25">
      <c r="A56" t="s">
        <v>311</v>
      </c>
      <c r="B56" t="s">
        <v>29</v>
      </c>
      <c r="C56" t="s">
        <v>312</v>
      </c>
      <c r="D56" cm="1">
        <f t="array" ref="D56">_xlfn.IFS(SINGLE_RESPONSES[[#This Row],[Age]]="18 - 29",1, SINGLE_RESPONSES[[#This Row],[Age]]="30 - 41",2,SINGLE_RESPONSES[[#This Row],[Age]]="42 -53",3, SINGLE_RESPONSES[[#This Row],[Age]]="54 - 65",4, SINGLE_RESPONSES[[#This Row],[Age]]="66 and above",5)</f>
        <v>5</v>
      </c>
      <c r="E56" t="s">
        <v>31</v>
      </c>
      <c r="F56" t="s">
        <v>329</v>
      </c>
      <c r="G56" t="s">
        <v>329</v>
      </c>
      <c r="H56" t="s">
        <v>722</v>
      </c>
      <c r="I56" t="s">
        <v>329</v>
      </c>
      <c r="J56" t="s">
        <v>313</v>
      </c>
      <c r="K56" t="s">
        <v>39</v>
      </c>
      <c r="L56" t="s">
        <v>314</v>
      </c>
      <c r="M56">
        <v>5</v>
      </c>
      <c r="N56" t="s">
        <v>32</v>
      </c>
      <c r="O56" t="s">
        <v>89</v>
      </c>
      <c r="P56" t="s">
        <v>747</v>
      </c>
      <c r="Q56" t="s">
        <v>313</v>
      </c>
      <c r="R56">
        <v>5</v>
      </c>
    </row>
    <row r="57" spans="1:18" x14ac:dyDescent="0.25">
      <c r="A57" t="s">
        <v>315</v>
      </c>
      <c r="B57" t="s">
        <v>84</v>
      </c>
      <c r="C57" t="s">
        <v>46</v>
      </c>
      <c r="D57" cm="1">
        <f t="array" ref="D57">_xlfn.IFS(SINGLE_RESPONSES[[#This Row],[Age]]="18 - 29",1, SINGLE_RESPONSES[[#This Row],[Age]]="30 - 41",2,SINGLE_RESPONSES[[#This Row],[Age]]="42 -53",3, SINGLE_RESPONSES[[#This Row],[Age]]="54 - 65",4, SINGLE_RESPONSES[[#This Row],[Age]]="66 and above",5)</f>
        <v>1</v>
      </c>
      <c r="E57" t="s">
        <v>31</v>
      </c>
      <c r="F57" t="s">
        <v>329</v>
      </c>
      <c r="G57" t="s">
        <v>717</v>
      </c>
      <c r="H57" t="s">
        <v>731</v>
      </c>
      <c r="I57" t="s">
        <v>329</v>
      </c>
      <c r="J57" t="s">
        <v>213</v>
      </c>
      <c r="K57" t="s">
        <v>43</v>
      </c>
      <c r="L57" t="s">
        <v>213</v>
      </c>
      <c r="M57">
        <v>2</v>
      </c>
      <c r="N57" t="s">
        <v>746</v>
      </c>
      <c r="O57" t="s">
        <v>43</v>
      </c>
      <c r="P57" t="s">
        <v>32</v>
      </c>
      <c r="Q57" t="s">
        <v>318</v>
      </c>
      <c r="R57">
        <v>4</v>
      </c>
    </row>
    <row r="58" spans="1:18" x14ac:dyDescent="0.25">
      <c r="A58" t="s">
        <v>319</v>
      </c>
      <c r="B58" t="s">
        <v>84</v>
      </c>
      <c r="C58" t="s">
        <v>46</v>
      </c>
      <c r="D58" cm="1">
        <f t="array" ref="D58">_xlfn.IFS(SINGLE_RESPONSES[[#This Row],[Age]]="18 - 29",1, SINGLE_RESPONSES[[#This Row],[Age]]="30 - 41",2,SINGLE_RESPONSES[[#This Row],[Age]]="42 -53",3, SINGLE_RESPONSES[[#This Row],[Age]]="54 - 65",4, SINGLE_RESPONSES[[#This Row],[Age]]="66 and above",5)</f>
        <v>1</v>
      </c>
      <c r="E58" t="s">
        <v>31</v>
      </c>
      <c r="F58" t="s">
        <v>717</v>
      </c>
      <c r="G58" t="s">
        <v>717</v>
      </c>
      <c r="H58" t="s">
        <v>731</v>
      </c>
      <c r="I58" t="s">
        <v>32</v>
      </c>
      <c r="J58" t="s">
        <v>320</v>
      </c>
      <c r="K58" t="s">
        <v>39</v>
      </c>
      <c r="L58" t="s">
        <v>321</v>
      </c>
      <c r="M58">
        <v>6</v>
      </c>
      <c r="N58" t="s">
        <v>369</v>
      </c>
      <c r="O58" t="s">
        <v>43</v>
      </c>
      <c r="P58" t="s">
        <v>747</v>
      </c>
      <c r="Q58" t="s">
        <v>322</v>
      </c>
      <c r="R58">
        <v>3</v>
      </c>
    </row>
    <row r="59" spans="1:18" x14ac:dyDescent="0.25">
      <c r="A59" t="s">
        <v>323</v>
      </c>
      <c r="B59" t="s">
        <v>29</v>
      </c>
      <c r="C59" t="s">
        <v>46</v>
      </c>
      <c r="D59" cm="1">
        <f t="array" ref="D59">_xlfn.IFS(SINGLE_RESPONSES[[#This Row],[Age]]="18 - 29",1, SINGLE_RESPONSES[[#This Row],[Age]]="30 - 41",2,SINGLE_RESPONSES[[#This Row],[Age]]="42 -53",3, SINGLE_RESPONSES[[#This Row],[Age]]="54 - 65",4, SINGLE_RESPONSES[[#This Row],[Age]]="66 and above",5)</f>
        <v>1</v>
      </c>
      <c r="E59" t="s">
        <v>31</v>
      </c>
      <c r="F59" t="s">
        <v>369</v>
      </c>
      <c r="G59" t="s">
        <v>369</v>
      </c>
      <c r="H59" t="s">
        <v>720</v>
      </c>
      <c r="I59" t="s">
        <v>369</v>
      </c>
      <c r="J59" t="s">
        <v>325</v>
      </c>
      <c r="K59" t="s">
        <v>39</v>
      </c>
      <c r="L59" t="s">
        <v>326</v>
      </c>
      <c r="M59">
        <v>1</v>
      </c>
      <c r="N59" t="s">
        <v>369</v>
      </c>
      <c r="O59" t="s">
        <v>89</v>
      </c>
      <c r="P59" t="s">
        <v>747</v>
      </c>
      <c r="Q59" t="s">
        <v>327</v>
      </c>
      <c r="R59">
        <v>10</v>
      </c>
    </row>
    <row r="60" spans="1:18" x14ac:dyDescent="0.25">
      <c r="A60" t="s">
        <v>328</v>
      </c>
      <c r="B60" t="s">
        <v>84</v>
      </c>
      <c r="C60" t="s">
        <v>46</v>
      </c>
      <c r="D60" cm="1">
        <f t="array" ref="D60">_xlfn.IFS(SINGLE_RESPONSES[[#This Row],[Age]]="18 - 29",1, SINGLE_RESPONSES[[#This Row],[Age]]="30 - 41",2,SINGLE_RESPONSES[[#This Row],[Age]]="42 -53",3, SINGLE_RESPONSES[[#This Row],[Age]]="54 - 65",4, SINGLE_RESPONSES[[#This Row],[Age]]="66 and above",5)</f>
        <v>1</v>
      </c>
      <c r="E60" t="s">
        <v>31</v>
      </c>
      <c r="F60" t="s">
        <v>329</v>
      </c>
      <c r="G60" t="s">
        <v>329</v>
      </c>
      <c r="H60" t="s">
        <v>720</v>
      </c>
      <c r="I60" t="s">
        <v>329</v>
      </c>
      <c r="J60" t="s">
        <v>330</v>
      </c>
      <c r="K60" t="s">
        <v>39</v>
      </c>
      <c r="L60" t="s">
        <v>331</v>
      </c>
      <c r="M60">
        <v>8</v>
      </c>
      <c r="N60" t="s">
        <v>369</v>
      </c>
      <c r="O60" t="s">
        <v>39</v>
      </c>
      <c r="P60" t="s">
        <v>32</v>
      </c>
      <c r="Q60" t="s">
        <v>332</v>
      </c>
      <c r="R60">
        <v>9</v>
      </c>
    </row>
    <row r="61" spans="1:18" x14ac:dyDescent="0.25">
      <c r="A61" t="s">
        <v>333</v>
      </c>
      <c r="B61" t="s">
        <v>84</v>
      </c>
      <c r="C61" t="s">
        <v>46</v>
      </c>
      <c r="D61" cm="1">
        <f t="array" ref="D61">_xlfn.IFS(SINGLE_RESPONSES[[#This Row],[Age]]="18 - 29",1, SINGLE_RESPONSES[[#This Row],[Age]]="30 - 41",2,SINGLE_RESPONSES[[#This Row],[Age]]="42 -53",3, SINGLE_RESPONSES[[#This Row],[Age]]="54 - 65",4, SINGLE_RESPONSES[[#This Row],[Age]]="66 and above",5)</f>
        <v>1</v>
      </c>
      <c r="E61" t="s">
        <v>31</v>
      </c>
      <c r="F61" t="s">
        <v>32</v>
      </c>
      <c r="G61" t="s">
        <v>32</v>
      </c>
      <c r="H61" t="s">
        <v>718</v>
      </c>
      <c r="I61" t="s">
        <v>329</v>
      </c>
      <c r="J61" t="s">
        <v>334</v>
      </c>
      <c r="K61" t="s">
        <v>39</v>
      </c>
      <c r="L61" t="s">
        <v>335</v>
      </c>
      <c r="M61">
        <v>9</v>
      </c>
      <c r="N61" t="s">
        <v>329</v>
      </c>
      <c r="O61" t="s">
        <v>39</v>
      </c>
      <c r="P61" t="s">
        <v>32</v>
      </c>
      <c r="Q61" t="s">
        <v>336</v>
      </c>
      <c r="R61">
        <v>9</v>
      </c>
    </row>
    <row r="62" spans="1:18" x14ac:dyDescent="0.25">
      <c r="A62" t="s">
        <v>337</v>
      </c>
      <c r="B62" t="s">
        <v>29</v>
      </c>
      <c r="C62" t="s">
        <v>204</v>
      </c>
      <c r="D62" cm="1">
        <f t="array" ref="D62">_xlfn.IFS(SINGLE_RESPONSES[[#This Row],[Age]]="18 - 29",1, SINGLE_RESPONSES[[#This Row],[Age]]="30 - 41",2,SINGLE_RESPONSES[[#This Row],[Age]]="42 -53",3, SINGLE_RESPONSES[[#This Row],[Age]]="54 - 65",4, SINGLE_RESPONSES[[#This Row],[Age]]="66 and above",5)</f>
        <v>2</v>
      </c>
      <c r="E62" t="s">
        <v>31</v>
      </c>
      <c r="F62" t="s">
        <v>329</v>
      </c>
      <c r="G62" t="s">
        <v>329</v>
      </c>
      <c r="H62" t="s">
        <v>716</v>
      </c>
      <c r="I62" t="s">
        <v>32</v>
      </c>
      <c r="J62" t="s">
        <v>339</v>
      </c>
      <c r="K62" t="s">
        <v>39</v>
      </c>
      <c r="L62" t="s">
        <v>340</v>
      </c>
      <c r="M62">
        <v>8</v>
      </c>
      <c r="N62" t="s">
        <v>717</v>
      </c>
      <c r="O62" t="s">
        <v>43</v>
      </c>
      <c r="P62" t="s">
        <v>747</v>
      </c>
      <c r="Q62" t="s">
        <v>341</v>
      </c>
      <c r="R62">
        <v>3</v>
      </c>
    </row>
    <row r="63" spans="1:18" x14ac:dyDescent="0.25">
      <c r="A63" t="s">
        <v>342</v>
      </c>
      <c r="B63" t="s">
        <v>29</v>
      </c>
      <c r="C63" t="s">
        <v>46</v>
      </c>
      <c r="D63" cm="1">
        <f t="array" ref="D63">_xlfn.IFS(SINGLE_RESPONSES[[#This Row],[Age]]="18 - 29",1, SINGLE_RESPONSES[[#This Row],[Age]]="30 - 41",2,SINGLE_RESPONSES[[#This Row],[Age]]="42 -53",3, SINGLE_RESPONSES[[#This Row],[Age]]="54 - 65",4, SINGLE_RESPONSES[[#This Row],[Age]]="66 and above",5)</f>
        <v>1</v>
      </c>
      <c r="E63" t="s">
        <v>31</v>
      </c>
      <c r="F63" t="s">
        <v>369</v>
      </c>
      <c r="G63" t="s">
        <v>369</v>
      </c>
      <c r="H63" t="s">
        <v>720</v>
      </c>
      <c r="I63" t="s">
        <v>32</v>
      </c>
      <c r="J63" t="s">
        <v>343</v>
      </c>
      <c r="K63" t="s">
        <v>39</v>
      </c>
      <c r="L63" t="s">
        <v>344</v>
      </c>
      <c r="M63">
        <v>10</v>
      </c>
      <c r="N63" t="s">
        <v>32</v>
      </c>
      <c r="O63" t="s">
        <v>43</v>
      </c>
      <c r="P63" t="s">
        <v>747</v>
      </c>
      <c r="Q63" t="s">
        <v>345</v>
      </c>
      <c r="R63">
        <v>6</v>
      </c>
    </row>
    <row r="64" spans="1:18" x14ac:dyDescent="0.25">
      <c r="A64" t="s">
        <v>186</v>
      </c>
      <c r="B64" t="s">
        <v>84</v>
      </c>
      <c r="C64" t="s">
        <v>46</v>
      </c>
      <c r="D64" cm="1">
        <f t="array" ref="D64">_xlfn.IFS(SINGLE_RESPONSES[[#This Row],[Age]]="18 - 29",1, SINGLE_RESPONSES[[#This Row],[Age]]="30 - 41",2,SINGLE_RESPONSES[[#This Row],[Age]]="42 -53",3, SINGLE_RESPONSES[[#This Row],[Age]]="54 - 65",4, SINGLE_RESPONSES[[#This Row],[Age]]="66 and above",5)</f>
        <v>1</v>
      </c>
      <c r="E64" t="s">
        <v>31</v>
      </c>
      <c r="F64" t="s">
        <v>32</v>
      </c>
      <c r="G64" t="s">
        <v>32</v>
      </c>
      <c r="H64" t="s">
        <v>731</v>
      </c>
      <c r="I64" t="s">
        <v>369</v>
      </c>
      <c r="J64" t="s">
        <v>346</v>
      </c>
      <c r="K64" t="s">
        <v>39</v>
      </c>
      <c r="L64" t="s">
        <v>347</v>
      </c>
      <c r="M64">
        <v>10</v>
      </c>
      <c r="N64" t="s">
        <v>369</v>
      </c>
      <c r="O64" t="s">
        <v>39</v>
      </c>
      <c r="P64" t="s">
        <v>32</v>
      </c>
      <c r="Q64" t="s">
        <v>348</v>
      </c>
      <c r="R64">
        <v>10</v>
      </c>
    </row>
    <row r="65" spans="1:18" x14ac:dyDescent="0.25">
      <c r="A65" t="s">
        <v>349</v>
      </c>
      <c r="B65" t="s">
        <v>29</v>
      </c>
      <c r="C65" t="s">
        <v>46</v>
      </c>
      <c r="D65" cm="1">
        <f t="array" ref="D65">_xlfn.IFS(SINGLE_RESPONSES[[#This Row],[Age]]="18 - 29",1, SINGLE_RESPONSES[[#This Row],[Age]]="30 - 41",2,SINGLE_RESPONSES[[#This Row],[Age]]="42 -53",3, SINGLE_RESPONSES[[#This Row],[Age]]="54 - 65",4, SINGLE_RESPONSES[[#This Row],[Age]]="66 and above",5)</f>
        <v>1</v>
      </c>
      <c r="E65" t="s">
        <v>350</v>
      </c>
      <c r="F65" t="s">
        <v>32</v>
      </c>
      <c r="G65" t="s">
        <v>32</v>
      </c>
      <c r="H65" t="s">
        <v>730</v>
      </c>
      <c r="I65" t="s">
        <v>369</v>
      </c>
      <c r="J65" t="s">
        <v>351</v>
      </c>
      <c r="K65" t="s">
        <v>39</v>
      </c>
      <c r="L65" t="s">
        <v>352</v>
      </c>
      <c r="M65">
        <v>9</v>
      </c>
      <c r="N65" t="s">
        <v>369</v>
      </c>
      <c r="O65" t="s">
        <v>43</v>
      </c>
      <c r="P65" t="s">
        <v>747</v>
      </c>
      <c r="Q65" t="s">
        <v>353</v>
      </c>
      <c r="R65">
        <v>5</v>
      </c>
    </row>
    <row r="66" spans="1:18" x14ac:dyDescent="0.25">
      <c r="A66" t="s">
        <v>354</v>
      </c>
      <c r="B66" t="s">
        <v>29</v>
      </c>
      <c r="C66" t="s">
        <v>46</v>
      </c>
      <c r="D66" cm="1">
        <f t="array" ref="D66">_xlfn.IFS(SINGLE_RESPONSES[[#This Row],[Age]]="18 - 29",1, SINGLE_RESPONSES[[#This Row],[Age]]="30 - 41",2,SINGLE_RESPONSES[[#This Row],[Age]]="42 -53",3, SINGLE_RESPONSES[[#This Row],[Age]]="54 - 65",4, SINGLE_RESPONSES[[#This Row],[Age]]="66 and above",5)</f>
        <v>1</v>
      </c>
      <c r="E66" t="s">
        <v>31</v>
      </c>
      <c r="F66" t="s">
        <v>329</v>
      </c>
      <c r="G66" t="s">
        <v>329</v>
      </c>
      <c r="H66" t="s">
        <v>718</v>
      </c>
      <c r="I66" t="s">
        <v>32</v>
      </c>
      <c r="J66" t="s">
        <v>132</v>
      </c>
      <c r="K66" t="s">
        <v>39</v>
      </c>
      <c r="L66" t="s">
        <v>355</v>
      </c>
      <c r="M66">
        <v>8</v>
      </c>
      <c r="N66" t="s">
        <v>32</v>
      </c>
      <c r="O66" t="s">
        <v>43</v>
      </c>
      <c r="P66" t="s">
        <v>747</v>
      </c>
      <c r="Q66" t="s">
        <v>356</v>
      </c>
      <c r="R66">
        <v>5</v>
      </c>
    </row>
    <row r="67" spans="1:18" x14ac:dyDescent="0.25">
      <c r="A67" t="s">
        <v>357</v>
      </c>
      <c r="B67" t="s">
        <v>29</v>
      </c>
      <c r="C67" t="s">
        <v>204</v>
      </c>
      <c r="D67" cm="1">
        <f t="array" ref="D67">_xlfn.IFS(SINGLE_RESPONSES[[#This Row],[Age]]="18 - 29",1, SINGLE_RESPONSES[[#This Row],[Age]]="30 - 41",2,SINGLE_RESPONSES[[#This Row],[Age]]="42 -53",3, SINGLE_RESPONSES[[#This Row],[Age]]="54 - 65",4, SINGLE_RESPONSES[[#This Row],[Age]]="66 and above",5)</f>
        <v>2</v>
      </c>
      <c r="E67" t="s">
        <v>31</v>
      </c>
      <c r="F67" t="s">
        <v>329</v>
      </c>
      <c r="G67" t="s">
        <v>329</v>
      </c>
      <c r="H67" t="s">
        <v>720</v>
      </c>
      <c r="I67" t="s">
        <v>369</v>
      </c>
      <c r="J67" t="s">
        <v>358</v>
      </c>
      <c r="K67" t="s">
        <v>39</v>
      </c>
      <c r="L67" t="s">
        <v>359</v>
      </c>
      <c r="M67">
        <v>7</v>
      </c>
      <c r="N67" t="s">
        <v>369</v>
      </c>
      <c r="O67" t="s">
        <v>89</v>
      </c>
      <c r="P67" t="s">
        <v>329</v>
      </c>
      <c r="Q67" t="s">
        <v>360</v>
      </c>
      <c r="R67">
        <v>7</v>
      </c>
    </row>
    <row r="68" spans="1:18" x14ac:dyDescent="0.25">
      <c r="A68" t="s">
        <v>361</v>
      </c>
      <c r="B68" t="s">
        <v>29</v>
      </c>
      <c r="C68" t="s">
        <v>46</v>
      </c>
      <c r="D68" cm="1">
        <f t="array" ref="D68">_xlfn.IFS(SINGLE_RESPONSES[[#This Row],[Age]]="18 - 29",1, SINGLE_RESPONSES[[#This Row],[Age]]="30 - 41",2,SINGLE_RESPONSES[[#This Row],[Age]]="42 -53",3, SINGLE_RESPONSES[[#This Row],[Age]]="54 - 65",4, SINGLE_RESPONSES[[#This Row],[Age]]="66 and above",5)</f>
        <v>1</v>
      </c>
      <c r="E68" t="s">
        <v>31</v>
      </c>
      <c r="F68" t="s">
        <v>329</v>
      </c>
      <c r="G68" t="s">
        <v>329</v>
      </c>
      <c r="H68" t="s">
        <v>729</v>
      </c>
      <c r="I68" t="s">
        <v>329</v>
      </c>
      <c r="J68" t="s">
        <v>362</v>
      </c>
      <c r="K68" t="s">
        <v>39</v>
      </c>
      <c r="L68" t="s">
        <v>363</v>
      </c>
      <c r="M68">
        <v>1</v>
      </c>
      <c r="N68" t="s">
        <v>717</v>
      </c>
      <c r="O68" t="s">
        <v>39</v>
      </c>
      <c r="P68" t="s">
        <v>32</v>
      </c>
      <c r="Q68" t="s">
        <v>364</v>
      </c>
      <c r="R68">
        <v>1</v>
      </c>
    </row>
    <row r="69" spans="1:18" x14ac:dyDescent="0.25">
      <c r="A69" t="s">
        <v>365</v>
      </c>
      <c r="B69" t="s">
        <v>29</v>
      </c>
      <c r="C69" t="s">
        <v>204</v>
      </c>
      <c r="D69" cm="1">
        <f t="array" ref="D69">_xlfn.IFS(SINGLE_RESPONSES[[#This Row],[Age]]="18 - 29",1, SINGLE_RESPONSES[[#This Row],[Age]]="30 - 41",2,SINGLE_RESPONSES[[#This Row],[Age]]="42 -53",3, SINGLE_RESPONSES[[#This Row],[Age]]="54 - 65",4, SINGLE_RESPONSES[[#This Row],[Age]]="66 and above",5)</f>
        <v>2</v>
      </c>
      <c r="E69" t="s">
        <v>31</v>
      </c>
      <c r="F69" t="s">
        <v>329</v>
      </c>
      <c r="G69" t="s">
        <v>329</v>
      </c>
      <c r="H69" t="s">
        <v>716</v>
      </c>
      <c r="I69" t="s">
        <v>32</v>
      </c>
      <c r="J69" t="s">
        <v>367</v>
      </c>
      <c r="K69" t="s">
        <v>39</v>
      </c>
      <c r="L69" t="s">
        <v>368</v>
      </c>
      <c r="M69">
        <v>10</v>
      </c>
      <c r="N69" t="s">
        <v>369</v>
      </c>
      <c r="O69" t="s">
        <v>39</v>
      </c>
      <c r="P69" t="s">
        <v>32</v>
      </c>
      <c r="Q69" t="s">
        <v>370</v>
      </c>
      <c r="R69">
        <v>5</v>
      </c>
    </row>
    <row r="70" spans="1:18" x14ac:dyDescent="0.25">
      <c r="A70" t="s">
        <v>371</v>
      </c>
      <c r="B70" t="s">
        <v>29</v>
      </c>
      <c r="C70" t="s">
        <v>46</v>
      </c>
      <c r="D70" cm="1">
        <f t="array" ref="D70">_xlfn.IFS(SINGLE_RESPONSES[[#This Row],[Age]]="18 - 29",1, SINGLE_RESPONSES[[#This Row],[Age]]="30 - 41",2,SINGLE_RESPONSES[[#This Row],[Age]]="42 -53",3, SINGLE_RESPONSES[[#This Row],[Age]]="54 - 65",4, SINGLE_RESPONSES[[#This Row],[Age]]="66 and above",5)</f>
        <v>1</v>
      </c>
      <c r="E70" t="s">
        <v>31</v>
      </c>
      <c r="F70" t="s">
        <v>32</v>
      </c>
      <c r="G70" t="s">
        <v>32</v>
      </c>
      <c r="H70" t="s">
        <v>720</v>
      </c>
      <c r="I70" t="s">
        <v>32</v>
      </c>
      <c r="J70" t="s">
        <v>372</v>
      </c>
      <c r="K70" t="s">
        <v>43</v>
      </c>
      <c r="L70" t="s">
        <v>373</v>
      </c>
      <c r="M70">
        <v>8</v>
      </c>
      <c r="N70" t="s">
        <v>329</v>
      </c>
      <c r="O70" t="s">
        <v>39</v>
      </c>
      <c r="P70" t="s">
        <v>32</v>
      </c>
      <c r="Q70" t="s">
        <v>374</v>
      </c>
      <c r="R70">
        <v>6</v>
      </c>
    </row>
    <row r="71" spans="1:18" x14ac:dyDescent="0.25">
      <c r="A71" t="s">
        <v>375</v>
      </c>
      <c r="B71" t="s">
        <v>29</v>
      </c>
      <c r="C71" t="s">
        <v>46</v>
      </c>
      <c r="D71" cm="1">
        <f t="array" ref="D71">_xlfn.IFS(SINGLE_RESPONSES[[#This Row],[Age]]="18 - 29",1, SINGLE_RESPONSES[[#This Row],[Age]]="30 - 41",2,SINGLE_RESPONSES[[#This Row],[Age]]="42 -53",3, SINGLE_RESPONSES[[#This Row],[Age]]="54 - 65",4, SINGLE_RESPONSES[[#This Row],[Age]]="66 and above",5)</f>
        <v>1</v>
      </c>
      <c r="E71" t="s">
        <v>31</v>
      </c>
      <c r="F71" t="s">
        <v>32</v>
      </c>
      <c r="G71" t="s">
        <v>32</v>
      </c>
      <c r="H71" t="s">
        <v>722</v>
      </c>
      <c r="I71" t="s">
        <v>717</v>
      </c>
      <c r="J71" t="s">
        <v>376</v>
      </c>
      <c r="K71" t="s">
        <v>39</v>
      </c>
      <c r="L71" t="s">
        <v>377</v>
      </c>
      <c r="M71">
        <v>7</v>
      </c>
      <c r="N71" t="s">
        <v>717</v>
      </c>
      <c r="O71" t="s">
        <v>43</v>
      </c>
      <c r="P71" t="s">
        <v>747</v>
      </c>
      <c r="Q71" t="s">
        <v>378</v>
      </c>
      <c r="R71">
        <v>4</v>
      </c>
    </row>
    <row r="72" spans="1:18" x14ac:dyDescent="0.25">
      <c r="A72" t="s">
        <v>379</v>
      </c>
      <c r="B72" t="s">
        <v>29</v>
      </c>
      <c r="C72" t="s">
        <v>46</v>
      </c>
      <c r="D72" cm="1">
        <f t="array" ref="D72">_xlfn.IFS(SINGLE_RESPONSES[[#This Row],[Age]]="18 - 29",1, SINGLE_RESPONSES[[#This Row],[Age]]="30 - 41",2,SINGLE_RESPONSES[[#This Row],[Age]]="42 -53",3, SINGLE_RESPONSES[[#This Row],[Age]]="54 - 65",4, SINGLE_RESPONSES[[#This Row],[Age]]="66 and above",5)</f>
        <v>1</v>
      </c>
      <c r="E72" t="s">
        <v>31</v>
      </c>
      <c r="F72" t="s">
        <v>32</v>
      </c>
      <c r="G72" t="s">
        <v>32</v>
      </c>
      <c r="H72" t="s">
        <v>720</v>
      </c>
      <c r="I72" t="s">
        <v>32</v>
      </c>
      <c r="J72" t="s">
        <v>380</v>
      </c>
      <c r="K72" t="s">
        <v>39</v>
      </c>
      <c r="L72" t="s">
        <v>381</v>
      </c>
      <c r="M72">
        <v>7</v>
      </c>
      <c r="N72" t="s">
        <v>717</v>
      </c>
      <c r="O72" t="s">
        <v>39</v>
      </c>
      <c r="P72" t="s">
        <v>32</v>
      </c>
      <c r="Q72" t="s">
        <v>382</v>
      </c>
      <c r="R72">
        <v>8</v>
      </c>
    </row>
    <row r="73" spans="1:18" x14ac:dyDescent="0.25">
      <c r="A73" t="s">
        <v>383</v>
      </c>
      <c r="B73" t="s">
        <v>29</v>
      </c>
      <c r="C73" t="s">
        <v>46</v>
      </c>
      <c r="D73" cm="1">
        <f t="array" ref="D73">_xlfn.IFS(SINGLE_RESPONSES[[#This Row],[Age]]="18 - 29",1, SINGLE_RESPONSES[[#This Row],[Age]]="30 - 41",2,SINGLE_RESPONSES[[#This Row],[Age]]="42 -53",3, SINGLE_RESPONSES[[#This Row],[Age]]="54 - 65",4, SINGLE_RESPONSES[[#This Row],[Age]]="66 and above",5)</f>
        <v>1</v>
      </c>
      <c r="E73" t="s">
        <v>31</v>
      </c>
      <c r="F73" t="s">
        <v>329</v>
      </c>
      <c r="G73" t="s">
        <v>717</v>
      </c>
      <c r="H73" t="s">
        <v>720</v>
      </c>
      <c r="I73" t="s">
        <v>329</v>
      </c>
      <c r="J73" t="s">
        <v>385</v>
      </c>
      <c r="K73" t="s">
        <v>39</v>
      </c>
      <c r="L73" t="s">
        <v>386</v>
      </c>
      <c r="M73">
        <v>10</v>
      </c>
      <c r="N73" t="s">
        <v>329</v>
      </c>
      <c r="O73" t="s">
        <v>43</v>
      </c>
      <c r="P73" t="s">
        <v>32</v>
      </c>
      <c r="Q73" t="s">
        <v>387</v>
      </c>
      <c r="R73">
        <v>5</v>
      </c>
    </row>
    <row r="74" spans="1:18" x14ac:dyDescent="0.25">
      <c r="A74" t="s">
        <v>388</v>
      </c>
      <c r="B74" t="s">
        <v>29</v>
      </c>
      <c r="C74" t="s">
        <v>204</v>
      </c>
      <c r="D74" cm="1">
        <f t="array" ref="D74">_xlfn.IFS(SINGLE_RESPONSES[[#This Row],[Age]]="18 - 29",1, SINGLE_RESPONSES[[#This Row],[Age]]="30 - 41",2,SINGLE_RESPONSES[[#This Row],[Age]]="42 -53",3, SINGLE_RESPONSES[[#This Row],[Age]]="54 - 65",4, SINGLE_RESPONSES[[#This Row],[Age]]="66 and above",5)</f>
        <v>2</v>
      </c>
      <c r="E74" t="s">
        <v>389</v>
      </c>
      <c r="F74" t="s">
        <v>369</v>
      </c>
      <c r="G74" t="s">
        <v>369</v>
      </c>
      <c r="H74" t="s">
        <v>722</v>
      </c>
      <c r="I74" t="s">
        <v>717</v>
      </c>
      <c r="J74" t="s">
        <v>392</v>
      </c>
      <c r="K74" t="s">
        <v>39</v>
      </c>
      <c r="L74" t="s">
        <v>393</v>
      </c>
      <c r="M74">
        <v>7</v>
      </c>
      <c r="N74" t="s">
        <v>746</v>
      </c>
      <c r="O74" t="s">
        <v>43</v>
      </c>
      <c r="P74" t="s">
        <v>747</v>
      </c>
      <c r="Q74" t="s">
        <v>395</v>
      </c>
      <c r="R74">
        <v>6</v>
      </c>
    </row>
    <row r="75" spans="1:18" x14ac:dyDescent="0.25">
      <c r="A75" t="s">
        <v>396</v>
      </c>
      <c r="B75" t="s">
        <v>29</v>
      </c>
      <c r="C75" t="s">
        <v>204</v>
      </c>
      <c r="D75" cm="1">
        <f t="array" ref="D75">_xlfn.IFS(SINGLE_RESPONSES[[#This Row],[Age]]="18 - 29",1, SINGLE_RESPONSES[[#This Row],[Age]]="30 - 41",2,SINGLE_RESPONSES[[#This Row],[Age]]="42 -53",3, SINGLE_RESPONSES[[#This Row],[Age]]="54 - 65",4, SINGLE_RESPONSES[[#This Row],[Age]]="66 and above",5)</f>
        <v>2</v>
      </c>
      <c r="E75" t="s">
        <v>31</v>
      </c>
      <c r="F75" t="s">
        <v>329</v>
      </c>
      <c r="G75" t="s">
        <v>329</v>
      </c>
      <c r="H75" t="s">
        <v>720</v>
      </c>
      <c r="I75" t="s">
        <v>717</v>
      </c>
      <c r="J75" t="s">
        <v>397</v>
      </c>
      <c r="K75" t="s">
        <v>43</v>
      </c>
      <c r="L75" t="s">
        <v>398</v>
      </c>
      <c r="M75">
        <v>3</v>
      </c>
      <c r="N75" t="s">
        <v>746</v>
      </c>
      <c r="O75" t="s">
        <v>43</v>
      </c>
      <c r="P75" t="s">
        <v>747</v>
      </c>
      <c r="Q75" t="s">
        <v>400</v>
      </c>
      <c r="R75">
        <v>1</v>
      </c>
    </row>
    <row r="76" spans="1:18" x14ac:dyDescent="0.25">
      <c r="A76" t="s">
        <v>401</v>
      </c>
      <c r="B76" t="s">
        <v>29</v>
      </c>
      <c r="C76" t="s">
        <v>46</v>
      </c>
      <c r="D76" cm="1">
        <f t="array" ref="D76">_xlfn.IFS(SINGLE_RESPONSES[[#This Row],[Age]]="18 - 29",1, SINGLE_RESPONSES[[#This Row],[Age]]="30 - 41",2,SINGLE_RESPONSES[[#This Row],[Age]]="42 -53",3, SINGLE_RESPONSES[[#This Row],[Age]]="54 - 65",4, SINGLE_RESPONSES[[#This Row],[Age]]="66 and above",5)</f>
        <v>1</v>
      </c>
      <c r="E76" t="s">
        <v>31</v>
      </c>
      <c r="F76" t="s">
        <v>329</v>
      </c>
      <c r="G76" t="s">
        <v>329</v>
      </c>
      <c r="H76" t="s">
        <v>720</v>
      </c>
      <c r="I76" t="s">
        <v>369</v>
      </c>
      <c r="J76" t="s">
        <v>402</v>
      </c>
      <c r="K76" t="s">
        <v>39</v>
      </c>
      <c r="L76" t="s">
        <v>402</v>
      </c>
      <c r="M76">
        <v>10</v>
      </c>
      <c r="N76" t="s">
        <v>369</v>
      </c>
      <c r="O76" t="s">
        <v>89</v>
      </c>
      <c r="P76" t="s">
        <v>32</v>
      </c>
      <c r="Q76" t="s">
        <v>403</v>
      </c>
      <c r="R76">
        <v>6</v>
      </c>
    </row>
    <row r="77" spans="1:18" x14ac:dyDescent="0.25">
      <c r="A77" t="s">
        <v>404</v>
      </c>
      <c r="B77" t="s">
        <v>29</v>
      </c>
      <c r="C77" t="s">
        <v>46</v>
      </c>
      <c r="D77" cm="1">
        <f t="array" ref="D77">_xlfn.IFS(SINGLE_RESPONSES[[#This Row],[Age]]="18 - 29",1, SINGLE_RESPONSES[[#This Row],[Age]]="30 - 41",2,SINGLE_RESPONSES[[#This Row],[Age]]="42 -53",3, SINGLE_RESPONSES[[#This Row],[Age]]="54 - 65",4, SINGLE_RESPONSES[[#This Row],[Age]]="66 and above",5)</f>
        <v>1</v>
      </c>
      <c r="E77" t="s">
        <v>31</v>
      </c>
      <c r="F77" t="s">
        <v>717</v>
      </c>
      <c r="G77" t="s">
        <v>717</v>
      </c>
      <c r="H77" t="s">
        <v>722</v>
      </c>
      <c r="I77" t="s">
        <v>329</v>
      </c>
      <c r="J77" t="s">
        <v>406</v>
      </c>
      <c r="K77" t="s">
        <v>39</v>
      </c>
      <c r="L77" t="s">
        <v>407</v>
      </c>
      <c r="M77">
        <v>9</v>
      </c>
      <c r="N77" t="s">
        <v>329</v>
      </c>
      <c r="O77" t="s">
        <v>43</v>
      </c>
      <c r="P77" t="s">
        <v>747</v>
      </c>
      <c r="Q77" t="s">
        <v>408</v>
      </c>
      <c r="R77">
        <v>4</v>
      </c>
    </row>
    <row r="78" spans="1:18" x14ac:dyDescent="0.25">
      <c r="A78" t="s">
        <v>409</v>
      </c>
      <c r="B78" t="s">
        <v>29</v>
      </c>
      <c r="C78" t="s">
        <v>46</v>
      </c>
      <c r="D78" cm="1">
        <f t="array" ref="D78">_xlfn.IFS(SINGLE_RESPONSES[[#This Row],[Age]]="18 - 29",1, SINGLE_RESPONSES[[#This Row],[Age]]="30 - 41",2,SINGLE_RESPONSES[[#This Row],[Age]]="42 -53",3, SINGLE_RESPONSES[[#This Row],[Age]]="54 - 65",4, SINGLE_RESPONSES[[#This Row],[Age]]="66 and above",5)</f>
        <v>1</v>
      </c>
      <c r="E78" t="s">
        <v>31</v>
      </c>
      <c r="F78" t="s">
        <v>329</v>
      </c>
      <c r="G78" t="s">
        <v>329</v>
      </c>
      <c r="H78" t="s">
        <v>720</v>
      </c>
      <c r="I78" t="s">
        <v>329</v>
      </c>
      <c r="J78" t="s">
        <v>410</v>
      </c>
      <c r="K78" t="s">
        <v>39</v>
      </c>
      <c r="L78" t="s">
        <v>411</v>
      </c>
      <c r="M78">
        <v>10</v>
      </c>
      <c r="N78" t="s">
        <v>369</v>
      </c>
      <c r="O78" t="s">
        <v>43</v>
      </c>
      <c r="P78" t="s">
        <v>32</v>
      </c>
      <c r="Q78" t="s">
        <v>412</v>
      </c>
      <c r="R78">
        <v>6</v>
      </c>
    </row>
    <row r="79" spans="1:18" x14ac:dyDescent="0.25">
      <c r="A79" t="s">
        <v>413</v>
      </c>
      <c r="B79" t="s">
        <v>84</v>
      </c>
      <c r="C79" t="s">
        <v>46</v>
      </c>
      <c r="D79" cm="1">
        <f t="array" ref="D79">_xlfn.IFS(SINGLE_RESPONSES[[#This Row],[Age]]="18 - 29",1, SINGLE_RESPONSES[[#This Row],[Age]]="30 - 41",2,SINGLE_RESPONSES[[#This Row],[Age]]="42 -53",3, SINGLE_RESPONSES[[#This Row],[Age]]="54 - 65",4, SINGLE_RESPONSES[[#This Row],[Age]]="66 and above",5)</f>
        <v>1</v>
      </c>
      <c r="E79" t="s">
        <v>31</v>
      </c>
      <c r="F79" t="s">
        <v>733</v>
      </c>
      <c r="G79" t="s">
        <v>329</v>
      </c>
      <c r="H79" t="s">
        <v>718</v>
      </c>
      <c r="I79" t="s">
        <v>329</v>
      </c>
      <c r="J79" t="s">
        <v>156</v>
      </c>
      <c r="K79" t="s">
        <v>39</v>
      </c>
      <c r="L79" t="s">
        <v>297</v>
      </c>
      <c r="M79">
        <v>7</v>
      </c>
      <c r="N79" t="s">
        <v>329</v>
      </c>
      <c r="O79" t="s">
        <v>39</v>
      </c>
      <c r="P79" t="s">
        <v>329</v>
      </c>
      <c r="Q79" t="s">
        <v>415</v>
      </c>
      <c r="R79">
        <v>5</v>
      </c>
    </row>
    <row r="80" spans="1:18" x14ac:dyDescent="0.25">
      <c r="A80" t="s">
        <v>416</v>
      </c>
      <c r="B80" t="s">
        <v>29</v>
      </c>
      <c r="C80" t="s">
        <v>46</v>
      </c>
      <c r="D80" cm="1">
        <f t="array" ref="D80">_xlfn.IFS(SINGLE_RESPONSES[[#This Row],[Age]]="18 - 29",1, SINGLE_RESPONSES[[#This Row],[Age]]="30 - 41",2,SINGLE_RESPONSES[[#This Row],[Age]]="42 -53",3, SINGLE_RESPONSES[[#This Row],[Age]]="54 - 65",4, SINGLE_RESPONSES[[#This Row],[Age]]="66 and above",5)</f>
        <v>1</v>
      </c>
      <c r="E80" t="s">
        <v>31</v>
      </c>
      <c r="F80" t="s">
        <v>329</v>
      </c>
      <c r="G80" t="s">
        <v>329</v>
      </c>
      <c r="H80" t="s">
        <v>729</v>
      </c>
      <c r="I80" t="s">
        <v>329</v>
      </c>
      <c r="J80" t="s">
        <v>417</v>
      </c>
      <c r="K80" t="s">
        <v>39</v>
      </c>
      <c r="L80" t="s">
        <v>418</v>
      </c>
      <c r="M80">
        <v>8</v>
      </c>
      <c r="N80" t="s">
        <v>32</v>
      </c>
      <c r="O80" t="s">
        <v>43</v>
      </c>
      <c r="P80" t="s">
        <v>32</v>
      </c>
      <c r="Q80" t="s">
        <v>419</v>
      </c>
      <c r="R80">
        <v>8</v>
      </c>
    </row>
    <row r="81" spans="1:18" x14ac:dyDescent="0.25">
      <c r="A81" t="s">
        <v>420</v>
      </c>
      <c r="B81" t="s">
        <v>84</v>
      </c>
      <c r="C81" t="s">
        <v>204</v>
      </c>
      <c r="D81" cm="1">
        <f t="array" ref="D81">_xlfn.IFS(SINGLE_RESPONSES[[#This Row],[Age]]="18 - 29",1, SINGLE_RESPONSES[[#This Row],[Age]]="30 - 41",2,SINGLE_RESPONSES[[#This Row],[Age]]="42 -53",3, SINGLE_RESPONSES[[#This Row],[Age]]="54 - 65",4, SINGLE_RESPONSES[[#This Row],[Age]]="66 and above",5)</f>
        <v>2</v>
      </c>
      <c r="E81" t="s">
        <v>31</v>
      </c>
      <c r="F81" t="s">
        <v>369</v>
      </c>
      <c r="G81" t="s">
        <v>369</v>
      </c>
      <c r="H81" t="s">
        <v>718</v>
      </c>
      <c r="I81" t="s">
        <v>32</v>
      </c>
      <c r="J81" t="s">
        <v>422</v>
      </c>
      <c r="K81" t="s">
        <v>39</v>
      </c>
      <c r="L81" t="s">
        <v>423</v>
      </c>
      <c r="M81">
        <v>7</v>
      </c>
      <c r="N81" t="s">
        <v>329</v>
      </c>
      <c r="O81" t="s">
        <v>43</v>
      </c>
      <c r="P81" t="s">
        <v>747</v>
      </c>
      <c r="Q81" t="s">
        <v>424</v>
      </c>
      <c r="R81">
        <v>5</v>
      </c>
    </row>
    <row r="82" spans="1:18" x14ac:dyDescent="0.25">
      <c r="A82" t="s">
        <v>425</v>
      </c>
      <c r="B82" t="s">
        <v>29</v>
      </c>
      <c r="C82" t="s">
        <v>46</v>
      </c>
      <c r="D82" cm="1">
        <f t="array" ref="D82">_xlfn.IFS(SINGLE_RESPONSES[[#This Row],[Age]]="18 - 29",1, SINGLE_RESPONSES[[#This Row],[Age]]="30 - 41",2,SINGLE_RESPONSES[[#This Row],[Age]]="42 -53",3, SINGLE_RESPONSES[[#This Row],[Age]]="54 - 65",4, SINGLE_RESPONSES[[#This Row],[Age]]="66 and above",5)</f>
        <v>1</v>
      </c>
      <c r="E82" t="s">
        <v>426</v>
      </c>
      <c r="F82" t="s">
        <v>735</v>
      </c>
      <c r="G82" t="s">
        <v>369</v>
      </c>
      <c r="H82" t="s">
        <v>720</v>
      </c>
      <c r="I82" t="s">
        <v>32</v>
      </c>
      <c r="J82" t="s">
        <v>428</v>
      </c>
      <c r="K82" t="s">
        <v>39</v>
      </c>
      <c r="L82" t="s">
        <v>429</v>
      </c>
      <c r="M82">
        <v>10</v>
      </c>
      <c r="N82" t="s">
        <v>746</v>
      </c>
      <c r="O82" t="s">
        <v>43</v>
      </c>
      <c r="P82" t="s">
        <v>747</v>
      </c>
      <c r="Q82" t="s">
        <v>97</v>
      </c>
      <c r="R82">
        <v>5</v>
      </c>
    </row>
    <row r="83" spans="1:18" x14ac:dyDescent="0.25">
      <c r="A83" t="s">
        <v>430</v>
      </c>
      <c r="B83" t="s">
        <v>29</v>
      </c>
      <c r="C83" t="s">
        <v>46</v>
      </c>
      <c r="D83" cm="1">
        <f t="array" ref="D83">_xlfn.IFS(SINGLE_RESPONSES[[#This Row],[Age]]="18 - 29",1, SINGLE_RESPONSES[[#This Row],[Age]]="30 - 41",2,SINGLE_RESPONSES[[#This Row],[Age]]="42 -53",3, SINGLE_RESPONSES[[#This Row],[Age]]="54 - 65",4, SINGLE_RESPONSES[[#This Row],[Age]]="66 and above",5)</f>
        <v>1</v>
      </c>
      <c r="E83" t="s">
        <v>31</v>
      </c>
      <c r="F83" t="s">
        <v>32</v>
      </c>
      <c r="G83" t="s">
        <v>32</v>
      </c>
      <c r="H83" t="s">
        <v>716</v>
      </c>
      <c r="I83" t="s">
        <v>329</v>
      </c>
      <c r="J83" t="s">
        <v>431</v>
      </c>
      <c r="K83" t="s">
        <v>39</v>
      </c>
      <c r="L83" t="s">
        <v>432</v>
      </c>
      <c r="M83">
        <v>10</v>
      </c>
      <c r="N83" t="s">
        <v>717</v>
      </c>
      <c r="O83" t="s">
        <v>39</v>
      </c>
      <c r="P83" t="s">
        <v>32</v>
      </c>
      <c r="Q83" t="s">
        <v>433</v>
      </c>
      <c r="R83">
        <v>4</v>
      </c>
    </row>
    <row r="84" spans="1:18" x14ac:dyDescent="0.25">
      <c r="A84" t="s">
        <v>434</v>
      </c>
      <c r="B84" t="s">
        <v>29</v>
      </c>
      <c r="C84" t="s">
        <v>46</v>
      </c>
      <c r="D84" cm="1">
        <f t="array" ref="D84">_xlfn.IFS(SINGLE_RESPONSES[[#This Row],[Age]]="18 - 29",1, SINGLE_RESPONSES[[#This Row],[Age]]="30 - 41",2,SINGLE_RESPONSES[[#This Row],[Age]]="42 -53",3, SINGLE_RESPONSES[[#This Row],[Age]]="54 - 65",4, SINGLE_RESPONSES[[#This Row],[Age]]="66 and above",5)</f>
        <v>1</v>
      </c>
      <c r="E84" t="s">
        <v>435</v>
      </c>
      <c r="F84" t="s">
        <v>329</v>
      </c>
      <c r="G84" t="s">
        <v>329</v>
      </c>
      <c r="H84" t="s">
        <v>722</v>
      </c>
      <c r="I84" t="s">
        <v>32</v>
      </c>
      <c r="J84" t="s">
        <v>156</v>
      </c>
      <c r="K84" t="s">
        <v>39</v>
      </c>
      <c r="L84" t="s">
        <v>156</v>
      </c>
      <c r="M84">
        <v>10</v>
      </c>
      <c r="N84" t="s">
        <v>32</v>
      </c>
      <c r="O84" t="s">
        <v>43</v>
      </c>
      <c r="P84" t="s">
        <v>747</v>
      </c>
      <c r="Q84" t="s">
        <v>436</v>
      </c>
      <c r="R84">
        <v>1</v>
      </c>
    </row>
    <row r="85" spans="1:18" x14ac:dyDescent="0.25">
      <c r="A85" t="s">
        <v>437</v>
      </c>
      <c r="B85" t="s">
        <v>29</v>
      </c>
      <c r="C85" t="s">
        <v>204</v>
      </c>
      <c r="D85" cm="1">
        <f t="array" ref="D85">_xlfn.IFS(SINGLE_RESPONSES[[#This Row],[Age]]="18 - 29",1, SINGLE_RESPONSES[[#This Row],[Age]]="30 - 41",2,SINGLE_RESPONSES[[#This Row],[Age]]="42 -53",3, SINGLE_RESPONSES[[#This Row],[Age]]="54 - 65",4, SINGLE_RESPONSES[[#This Row],[Age]]="66 and above",5)</f>
        <v>2</v>
      </c>
      <c r="E85" t="s">
        <v>31</v>
      </c>
      <c r="F85" t="s">
        <v>32</v>
      </c>
      <c r="G85" t="s">
        <v>329</v>
      </c>
      <c r="H85" t="s">
        <v>729</v>
      </c>
      <c r="I85" t="s">
        <v>32</v>
      </c>
      <c r="J85" t="s">
        <v>438</v>
      </c>
      <c r="K85" t="s">
        <v>39</v>
      </c>
      <c r="L85" t="s">
        <v>439</v>
      </c>
      <c r="M85">
        <v>8</v>
      </c>
      <c r="N85" t="s">
        <v>32</v>
      </c>
      <c r="O85" t="s">
        <v>43</v>
      </c>
      <c r="P85" t="s">
        <v>747</v>
      </c>
      <c r="Q85" t="s">
        <v>440</v>
      </c>
      <c r="R85">
        <v>5</v>
      </c>
    </row>
    <row r="86" spans="1:18" x14ac:dyDescent="0.25">
      <c r="A86" t="s">
        <v>441</v>
      </c>
      <c r="B86" t="s">
        <v>84</v>
      </c>
      <c r="C86" t="s">
        <v>46</v>
      </c>
      <c r="D86" cm="1">
        <f t="array" ref="D86">_xlfn.IFS(SINGLE_RESPONSES[[#This Row],[Age]]="18 - 29",1, SINGLE_RESPONSES[[#This Row],[Age]]="30 - 41",2,SINGLE_RESPONSES[[#This Row],[Age]]="42 -53",3, SINGLE_RESPONSES[[#This Row],[Age]]="54 - 65",4, SINGLE_RESPONSES[[#This Row],[Age]]="66 and above",5)</f>
        <v>1</v>
      </c>
      <c r="E86" t="s">
        <v>31</v>
      </c>
      <c r="F86" t="s">
        <v>329</v>
      </c>
      <c r="G86" t="s">
        <v>717</v>
      </c>
      <c r="H86" t="s">
        <v>720</v>
      </c>
      <c r="I86" t="s">
        <v>329</v>
      </c>
      <c r="J86" t="s">
        <v>442</v>
      </c>
      <c r="K86" t="s">
        <v>39</v>
      </c>
      <c r="L86" t="s">
        <v>187</v>
      </c>
      <c r="M86">
        <v>8</v>
      </c>
      <c r="N86" t="s">
        <v>329</v>
      </c>
      <c r="O86" t="s">
        <v>43</v>
      </c>
      <c r="P86" t="s">
        <v>329</v>
      </c>
      <c r="Q86" t="s">
        <v>443</v>
      </c>
      <c r="R86">
        <v>1</v>
      </c>
    </row>
    <row r="87" spans="1:18" x14ac:dyDescent="0.25">
      <c r="A87" t="s">
        <v>444</v>
      </c>
      <c r="B87" t="s">
        <v>84</v>
      </c>
      <c r="C87" t="s">
        <v>46</v>
      </c>
      <c r="D87" cm="1">
        <f t="array" ref="D87">_xlfn.IFS(SINGLE_RESPONSES[[#This Row],[Age]]="18 - 29",1, SINGLE_RESPONSES[[#This Row],[Age]]="30 - 41",2,SINGLE_RESPONSES[[#This Row],[Age]]="42 -53",3, SINGLE_RESPONSES[[#This Row],[Age]]="54 - 65",4, SINGLE_RESPONSES[[#This Row],[Age]]="66 and above",5)</f>
        <v>1</v>
      </c>
      <c r="E87" t="s">
        <v>31</v>
      </c>
      <c r="F87" t="s">
        <v>369</v>
      </c>
      <c r="G87" t="s">
        <v>369</v>
      </c>
      <c r="H87" t="s">
        <v>720</v>
      </c>
      <c r="I87" t="s">
        <v>369</v>
      </c>
      <c r="J87" t="s">
        <v>446</v>
      </c>
      <c r="K87" t="s">
        <v>39</v>
      </c>
      <c r="L87" t="s">
        <v>447</v>
      </c>
      <c r="M87">
        <v>10</v>
      </c>
      <c r="N87" t="s">
        <v>448</v>
      </c>
      <c r="O87" t="s">
        <v>43</v>
      </c>
      <c r="P87" t="s">
        <v>747</v>
      </c>
      <c r="Q87" t="s">
        <v>449</v>
      </c>
      <c r="R87">
        <v>5</v>
      </c>
    </row>
    <row r="88" spans="1:18" x14ac:dyDescent="0.25">
      <c r="A88" t="s">
        <v>450</v>
      </c>
      <c r="B88" t="s">
        <v>29</v>
      </c>
      <c r="C88" t="s">
        <v>46</v>
      </c>
      <c r="D88" cm="1">
        <f t="array" ref="D88">_xlfn.IFS(SINGLE_RESPONSES[[#This Row],[Age]]="18 - 29",1, SINGLE_RESPONSES[[#This Row],[Age]]="30 - 41",2,SINGLE_RESPONSES[[#This Row],[Age]]="42 -53",3, SINGLE_RESPONSES[[#This Row],[Age]]="54 - 65",4, SINGLE_RESPONSES[[#This Row],[Age]]="66 and above",5)</f>
        <v>1</v>
      </c>
      <c r="E88" t="s">
        <v>31</v>
      </c>
      <c r="F88" t="s">
        <v>736</v>
      </c>
      <c r="G88" t="s">
        <v>329</v>
      </c>
      <c r="H88" t="s">
        <v>722</v>
      </c>
      <c r="I88" t="s">
        <v>32</v>
      </c>
      <c r="J88" t="s">
        <v>452</v>
      </c>
      <c r="K88" t="s">
        <v>39</v>
      </c>
      <c r="L88" t="s">
        <v>453</v>
      </c>
      <c r="M88">
        <v>8</v>
      </c>
      <c r="N88" t="s">
        <v>369</v>
      </c>
      <c r="O88" t="s">
        <v>43</v>
      </c>
      <c r="P88" t="s">
        <v>747</v>
      </c>
      <c r="Q88" t="s">
        <v>454</v>
      </c>
      <c r="R88">
        <v>4</v>
      </c>
    </row>
    <row r="89" spans="1:18" x14ac:dyDescent="0.25">
      <c r="A89" t="s">
        <v>455</v>
      </c>
      <c r="B89" t="s">
        <v>84</v>
      </c>
      <c r="C89" t="s">
        <v>46</v>
      </c>
      <c r="D89" cm="1">
        <f t="array" ref="D89">_xlfn.IFS(SINGLE_RESPONSES[[#This Row],[Age]]="18 - 29",1, SINGLE_RESPONSES[[#This Row],[Age]]="30 - 41",2,SINGLE_RESPONSES[[#This Row],[Age]]="42 -53",3, SINGLE_RESPONSES[[#This Row],[Age]]="54 - 65",4, SINGLE_RESPONSES[[#This Row],[Age]]="66 and above",5)</f>
        <v>1</v>
      </c>
      <c r="E89" t="s">
        <v>31</v>
      </c>
      <c r="F89" t="s">
        <v>329</v>
      </c>
      <c r="G89" t="s">
        <v>329</v>
      </c>
      <c r="H89" t="s">
        <v>731</v>
      </c>
      <c r="I89" t="s">
        <v>329</v>
      </c>
      <c r="J89" t="s">
        <v>457</v>
      </c>
      <c r="K89" t="s">
        <v>43</v>
      </c>
      <c r="L89" t="s">
        <v>458</v>
      </c>
      <c r="M89">
        <v>5</v>
      </c>
      <c r="N89" t="s">
        <v>32</v>
      </c>
      <c r="O89" t="s">
        <v>89</v>
      </c>
      <c r="P89" t="s">
        <v>747</v>
      </c>
      <c r="Q89" t="s">
        <v>459</v>
      </c>
      <c r="R89">
        <v>1</v>
      </c>
    </row>
    <row r="90" spans="1:18" x14ac:dyDescent="0.25">
      <c r="A90" t="s">
        <v>460</v>
      </c>
      <c r="B90" t="s">
        <v>84</v>
      </c>
      <c r="C90" t="s">
        <v>46</v>
      </c>
      <c r="D90" cm="1">
        <f t="array" ref="D90">_xlfn.IFS(SINGLE_RESPONSES[[#This Row],[Age]]="18 - 29",1, SINGLE_RESPONSES[[#This Row],[Age]]="30 - 41",2,SINGLE_RESPONSES[[#This Row],[Age]]="42 -53",3, SINGLE_RESPONSES[[#This Row],[Age]]="54 - 65",4, SINGLE_RESPONSES[[#This Row],[Age]]="66 and above",5)</f>
        <v>1</v>
      </c>
      <c r="E90" t="s">
        <v>31</v>
      </c>
      <c r="F90" t="s">
        <v>32</v>
      </c>
      <c r="G90" t="s">
        <v>369</v>
      </c>
      <c r="H90" t="s">
        <v>720</v>
      </c>
      <c r="I90" t="s">
        <v>32</v>
      </c>
      <c r="J90" t="s">
        <v>462</v>
      </c>
      <c r="K90" t="s">
        <v>39</v>
      </c>
      <c r="L90" t="s">
        <v>463</v>
      </c>
      <c r="M90">
        <v>10</v>
      </c>
      <c r="N90" t="s">
        <v>717</v>
      </c>
      <c r="O90" t="s">
        <v>43</v>
      </c>
      <c r="P90" t="s">
        <v>32</v>
      </c>
      <c r="Q90" t="s">
        <v>464</v>
      </c>
      <c r="R90">
        <v>5</v>
      </c>
    </row>
    <row r="91" spans="1:18" x14ac:dyDescent="0.25">
      <c r="A91" t="s">
        <v>465</v>
      </c>
      <c r="B91" t="s">
        <v>29</v>
      </c>
      <c r="C91" t="s">
        <v>126</v>
      </c>
      <c r="D91" cm="1">
        <f t="array" ref="D91">_xlfn.IFS(SINGLE_RESPONSES[[#This Row],[Age]]="18 - 29",1, SINGLE_RESPONSES[[#This Row],[Age]]="30 - 41",2,SINGLE_RESPONSES[[#This Row],[Age]]="42 -53",3, SINGLE_RESPONSES[[#This Row],[Age]]="54 - 65",4, SINGLE_RESPONSES[[#This Row],[Age]]="66 and above",5)</f>
        <v>3</v>
      </c>
      <c r="E91" t="s">
        <v>31</v>
      </c>
      <c r="F91" t="s">
        <v>329</v>
      </c>
      <c r="G91" t="s">
        <v>32</v>
      </c>
      <c r="H91" t="s">
        <v>720</v>
      </c>
      <c r="I91" t="s">
        <v>329</v>
      </c>
      <c r="J91" t="s">
        <v>466</v>
      </c>
      <c r="K91" t="s">
        <v>43</v>
      </c>
      <c r="L91" t="s">
        <v>467</v>
      </c>
      <c r="M91">
        <v>9</v>
      </c>
      <c r="N91" t="s">
        <v>717</v>
      </c>
      <c r="O91" t="s">
        <v>43</v>
      </c>
      <c r="P91" t="s">
        <v>747</v>
      </c>
      <c r="Q91" t="s">
        <v>468</v>
      </c>
      <c r="R91">
        <v>1</v>
      </c>
    </row>
    <row r="92" spans="1:18" x14ac:dyDescent="0.25">
      <c r="A92" t="s">
        <v>469</v>
      </c>
      <c r="B92" t="s">
        <v>29</v>
      </c>
      <c r="C92" t="s">
        <v>46</v>
      </c>
      <c r="D92" cm="1">
        <f t="array" ref="D92">_xlfn.IFS(SINGLE_RESPONSES[[#This Row],[Age]]="18 - 29",1, SINGLE_RESPONSES[[#This Row],[Age]]="30 - 41",2,SINGLE_RESPONSES[[#This Row],[Age]]="42 -53",3, SINGLE_RESPONSES[[#This Row],[Age]]="54 - 65",4, SINGLE_RESPONSES[[#This Row],[Age]]="66 and above",5)</f>
        <v>1</v>
      </c>
      <c r="E92" t="s">
        <v>31</v>
      </c>
      <c r="F92" t="s">
        <v>329</v>
      </c>
      <c r="G92" t="s">
        <v>329</v>
      </c>
      <c r="H92" t="s">
        <v>720</v>
      </c>
      <c r="I92" t="s">
        <v>329</v>
      </c>
      <c r="J92" t="s">
        <v>470</v>
      </c>
      <c r="K92" t="s">
        <v>39</v>
      </c>
      <c r="L92" t="s">
        <v>471</v>
      </c>
      <c r="M92">
        <v>8</v>
      </c>
      <c r="N92" t="s">
        <v>329</v>
      </c>
      <c r="O92" t="s">
        <v>39</v>
      </c>
      <c r="P92" t="s">
        <v>329</v>
      </c>
      <c r="Q92" t="s">
        <v>472</v>
      </c>
      <c r="R92">
        <v>5</v>
      </c>
    </row>
    <row r="93" spans="1:18" x14ac:dyDescent="0.25">
      <c r="A93" t="s">
        <v>473</v>
      </c>
      <c r="B93" t="s">
        <v>29</v>
      </c>
      <c r="C93" t="s">
        <v>46</v>
      </c>
      <c r="D93" cm="1">
        <f t="array" ref="D93">_xlfn.IFS(SINGLE_RESPONSES[[#This Row],[Age]]="18 - 29",1, SINGLE_RESPONSES[[#This Row],[Age]]="30 - 41",2,SINGLE_RESPONSES[[#This Row],[Age]]="42 -53",3, SINGLE_RESPONSES[[#This Row],[Age]]="54 - 65",4, SINGLE_RESPONSES[[#This Row],[Age]]="66 and above",5)</f>
        <v>1</v>
      </c>
      <c r="E93" t="s">
        <v>31</v>
      </c>
      <c r="F93" t="s">
        <v>329</v>
      </c>
      <c r="G93" t="s">
        <v>369</v>
      </c>
      <c r="H93" t="s">
        <v>720</v>
      </c>
      <c r="I93" t="s">
        <v>329</v>
      </c>
      <c r="J93" t="s">
        <v>132</v>
      </c>
      <c r="K93" t="s">
        <v>39</v>
      </c>
      <c r="L93" t="s">
        <v>474</v>
      </c>
      <c r="M93">
        <v>10</v>
      </c>
      <c r="N93" t="s">
        <v>369</v>
      </c>
      <c r="O93" t="s">
        <v>39</v>
      </c>
      <c r="P93" t="s">
        <v>369</v>
      </c>
      <c r="Q93" t="s">
        <v>475</v>
      </c>
      <c r="R93">
        <v>10</v>
      </c>
    </row>
    <row r="94" spans="1:18" x14ac:dyDescent="0.25">
      <c r="A94" t="s">
        <v>119</v>
      </c>
      <c r="B94" t="s">
        <v>29</v>
      </c>
      <c r="C94" t="s">
        <v>46</v>
      </c>
      <c r="D94" cm="1">
        <f t="array" ref="D94">_xlfn.IFS(SINGLE_RESPONSES[[#This Row],[Age]]="18 - 29",1, SINGLE_RESPONSES[[#This Row],[Age]]="30 - 41",2,SINGLE_RESPONSES[[#This Row],[Age]]="42 -53",3, SINGLE_RESPONSES[[#This Row],[Age]]="54 - 65",4, SINGLE_RESPONSES[[#This Row],[Age]]="66 and above",5)</f>
        <v>1</v>
      </c>
      <c r="E94" t="s">
        <v>31</v>
      </c>
      <c r="F94" t="s">
        <v>329</v>
      </c>
      <c r="G94" t="s">
        <v>329</v>
      </c>
      <c r="H94" t="s">
        <v>720</v>
      </c>
      <c r="I94" t="s">
        <v>329</v>
      </c>
      <c r="J94" t="s">
        <v>476</v>
      </c>
      <c r="K94" t="s">
        <v>39</v>
      </c>
      <c r="L94" t="s">
        <v>477</v>
      </c>
      <c r="M94">
        <v>10</v>
      </c>
      <c r="N94" t="s">
        <v>32</v>
      </c>
      <c r="O94" t="s">
        <v>43</v>
      </c>
      <c r="P94" t="s">
        <v>747</v>
      </c>
      <c r="Q94" t="s">
        <v>478</v>
      </c>
      <c r="R94">
        <v>1</v>
      </c>
    </row>
    <row r="95" spans="1:18" x14ac:dyDescent="0.25">
      <c r="A95" t="s">
        <v>479</v>
      </c>
      <c r="B95" t="s">
        <v>84</v>
      </c>
      <c r="C95" t="s">
        <v>46</v>
      </c>
      <c r="D95" cm="1">
        <f t="array" ref="D95">_xlfn.IFS(SINGLE_RESPONSES[[#This Row],[Age]]="18 - 29",1, SINGLE_RESPONSES[[#This Row],[Age]]="30 - 41",2,SINGLE_RESPONSES[[#This Row],[Age]]="42 -53",3, SINGLE_RESPONSES[[#This Row],[Age]]="54 - 65",4, SINGLE_RESPONSES[[#This Row],[Age]]="66 and above",5)</f>
        <v>1</v>
      </c>
      <c r="E95" t="s">
        <v>31</v>
      </c>
      <c r="F95" t="s">
        <v>329</v>
      </c>
      <c r="G95" t="s">
        <v>329</v>
      </c>
      <c r="H95" t="s">
        <v>716</v>
      </c>
      <c r="I95" t="s">
        <v>329</v>
      </c>
      <c r="J95" t="s">
        <v>480</v>
      </c>
      <c r="K95" t="s">
        <v>39</v>
      </c>
      <c r="L95" t="s">
        <v>481</v>
      </c>
      <c r="M95">
        <v>6</v>
      </c>
      <c r="N95" t="s">
        <v>32</v>
      </c>
      <c r="O95" t="s">
        <v>89</v>
      </c>
      <c r="P95" t="s">
        <v>32</v>
      </c>
      <c r="Q95" t="s">
        <v>482</v>
      </c>
      <c r="R95">
        <v>4</v>
      </c>
    </row>
    <row r="96" spans="1:18" x14ac:dyDescent="0.25">
      <c r="A96" t="s">
        <v>483</v>
      </c>
      <c r="B96" t="s">
        <v>29</v>
      </c>
      <c r="C96" t="s">
        <v>46</v>
      </c>
      <c r="D96" cm="1">
        <f t="array" ref="D96">_xlfn.IFS(SINGLE_RESPONSES[[#This Row],[Age]]="18 - 29",1, SINGLE_RESPONSES[[#This Row],[Age]]="30 - 41",2,SINGLE_RESPONSES[[#This Row],[Age]]="42 -53",3, SINGLE_RESPONSES[[#This Row],[Age]]="54 - 65",4, SINGLE_RESPONSES[[#This Row],[Age]]="66 and above",5)</f>
        <v>1</v>
      </c>
      <c r="E96" t="s">
        <v>31</v>
      </c>
      <c r="F96" t="s">
        <v>329</v>
      </c>
      <c r="G96" t="s">
        <v>369</v>
      </c>
      <c r="H96" t="s">
        <v>720</v>
      </c>
      <c r="I96" t="s">
        <v>329</v>
      </c>
      <c r="J96" t="s">
        <v>484</v>
      </c>
      <c r="K96" t="s">
        <v>39</v>
      </c>
      <c r="L96" t="s">
        <v>485</v>
      </c>
      <c r="M96">
        <v>10</v>
      </c>
      <c r="N96" t="s">
        <v>32</v>
      </c>
      <c r="O96" t="s">
        <v>39</v>
      </c>
      <c r="P96" t="s">
        <v>32</v>
      </c>
      <c r="Q96" t="s">
        <v>486</v>
      </c>
      <c r="R96">
        <v>7</v>
      </c>
    </row>
    <row r="97" spans="1:18" x14ac:dyDescent="0.25">
      <c r="A97" t="s">
        <v>487</v>
      </c>
      <c r="B97" t="s">
        <v>29</v>
      </c>
      <c r="C97" t="s">
        <v>46</v>
      </c>
      <c r="D97" cm="1">
        <f t="array" ref="D97">_xlfn.IFS(SINGLE_RESPONSES[[#This Row],[Age]]="18 - 29",1, SINGLE_RESPONSES[[#This Row],[Age]]="30 - 41",2,SINGLE_RESPONSES[[#This Row],[Age]]="42 -53",3, SINGLE_RESPONSES[[#This Row],[Age]]="54 - 65",4, SINGLE_RESPONSES[[#This Row],[Age]]="66 and above",5)</f>
        <v>1</v>
      </c>
      <c r="E97" t="s">
        <v>31</v>
      </c>
      <c r="F97" t="s">
        <v>329</v>
      </c>
      <c r="G97" t="s">
        <v>329</v>
      </c>
      <c r="H97" t="s">
        <v>720</v>
      </c>
      <c r="I97" t="s">
        <v>329</v>
      </c>
      <c r="J97" t="s">
        <v>41</v>
      </c>
      <c r="K97" t="s">
        <v>39</v>
      </c>
      <c r="L97" t="s">
        <v>489</v>
      </c>
      <c r="M97">
        <v>2</v>
      </c>
      <c r="N97" t="s">
        <v>32</v>
      </c>
      <c r="O97" t="s">
        <v>39</v>
      </c>
      <c r="P97" t="s">
        <v>329</v>
      </c>
      <c r="Q97" t="s">
        <v>39</v>
      </c>
      <c r="R97">
        <v>1</v>
      </c>
    </row>
    <row r="98" spans="1:18" x14ac:dyDescent="0.25">
      <c r="A98" t="s">
        <v>490</v>
      </c>
      <c r="B98" t="s">
        <v>29</v>
      </c>
      <c r="C98" t="s">
        <v>46</v>
      </c>
      <c r="D98" cm="1">
        <f t="array" ref="D98">_xlfn.IFS(SINGLE_RESPONSES[[#This Row],[Age]]="18 - 29",1, SINGLE_RESPONSES[[#This Row],[Age]]="30 - 41",2,SINGLE_RESPONSES[[#This Row],[Age]]="42 -53",3, SINGLE_RESPONSES[[#This Row],[Age]]="54 - 65",4, SINGLE_RESPONSES[[#This Row],[Age]]="66 and above",5)</f>
        <v>1</v>
      </c>
      <c r="E98" t="s">
        <v>31</v>
      </c>
      <c r="F98" t="s">
        <v>329</v>
      </c>
      <c r="G98" t="s">
        <v>329</v>
      </c>
      <c r="H98" t="s">
        <v>720</v>
      </c>
      <c r="I98" t="s">
        <v>32</v>
      </c>
      <c r="J98" t="s">
        <v>492</v>
      </c>
      <c r="K98" t="s">
        <v>39</v>
      </c>
      <c r="L98" t="s">
        <v>492</v>
      </c>
      <c r="M98">
        <v>9</v>
      </c>
      <c r="N98" t="s">
        <v>752</v>
      </c>
      <c r="O98" t="s">
        <v>43</v>
      </c>
      <c r="P98" t="s">
        <v>747</v>
      </c>
      <c r="Q98" t="s">
        <v>493</v>
      </c>
      <c r="R98">
        <v>5</v>
      </c>
    </row>
    <row r="99" spans="1:18" x14ac:dyDescent="0.25">
      <c r="A99" t="s">
        <v>494</v>
      </c>
      <c r="B99" t="s">
        <v>29</v>
      </c>
      <c r="C99" t="s">
        <v>46</v>
      </c>
      <c r="D99" cm="1">
        <f t="array" ref="D99">_xlfn.IFS(SINGLE_RESPONSES[[#This Row],[Age]]="18 - 29",1, SINGLE_RESPONSES[[#This Row],[Age]]="30 - 41",2,SINGLE_RESPONSES[[#This Row],[Age]]="42 -53",3, SINGLE_RESPONSES[[#This Row],[Age]]="54 - 65",4, SINGLE_RESPONSES[[#This Row],[Age]]="66 and above",5)</f>
        <v>1</v>
      </c>
      <c r="E99" t="s">
        <v>31</v>
      </c>
      <c r="F99" t="s">
        <v>329</v>
      </c>
      <c r="G99" t="s">
        <v>329</v>
      </c>
      <c r="H99" t="s">
        <v>718</v>
      </c>
      <c r="I99" t="s">
        <v>32</v>
      </c>
      <c r="J99" t="s">
        <v>495</v>
      </c>
      <c r="K99" t="s">
        <v>39</v>
      </c>
      <c r="L99" t="s">
        <v>496</v>
      </c>
      <c r="M99">
        <v>4</v>
      </c>
      <c r="N99" t="s">
        <v>32</v>
      </c>
      <c r="O99" t="s">
        <v>43</v>
      </c>
      <c r="P99" t="s">
        <v>32</v>
      </c>
      <c r="Q99" t="s">
        <v>497</v>
      </c>
      <c r="R99">
        <v>5</v>
      </c>
    </row>
    <row r="100" spans="1:18" x14ac:dyDescent="0.25">
      <c r="A100" t="s">
        <v>498</v>
      </c>
      <c r="B100" t="s">
        <v>29</v>
      </c>
      <c r="C100" t="s">
        <v>46</v>
      </c>
      <c r="D100" cm="1">
        <f t="array" ref="D100">_xlfn.IFS(SINGLE_RESPONSES[[#This Row],[Age]]="18 - 29",1, SINGLE_RESPONSES[[#This Row],[Age]]="30 - 41",2,SINGLE_RESPONSES[[#This Row],[Age]]="42 -53",3, SINGLE_RESPONSES[[#This Row],[Age]]="54 - 65",4, SINGLE_RESPONSES[[#This Row],[Age]]="66 and above",5)</f>
        <v>1</v>
      </c>
      <c r="E100" t="s">
        <v>31</v>
      </c>
      <c r="F100" t="s">
        <v>329</v>
      </c>
      <c r="G100" t="s">
        <v>329</v>
      </c>
      <c r="H100" t="s">
        <v>731</v>
      </c>
      <c r="I100" t="s">
        <v>32</v>
      </c>
      <c r="J100" t="s">
        <v>499</v>
      </c>
      <c r="K100" t="s">
        <v>39</v>
      </c>
      <c r="L100" t="s">
        <v>500</v>
      </c>
      <c r="M100">
        <v>7</v>
      </c>
      <c r="N100" t="s">
        <v>717</v>
      </c>
      <c r="O100" t="s">
        <v>39</v>
      </c>
      <c r="P100" t="s">
        <v>32</v>
      </c>
      <c r="Q100" t="s">
        <v>501</v>
      </c>
      <c r="R100">
        <v>5</v>
      </c>
    </row>
    <row r="101" spans="1:18" x14ac:dyDescent="0.25">
      <c r="A101" t="s">
        <v>502</v>
      </c>
      <c r="B101" t="s">
        <v>29</v>
      </c>
      <c r="C101" t="s">
        <v>204</v>
      </c>
      <c r="D101" cm="1">
        <f t="array" ref="D101">_xlfn.IFS(SINGLE_RESPONSES[[#This Row],[Age]]="18 - 29",1, SINGLE_RESPONSES[[#This Row],[Age]]="30 - 41",2,SINGLE_RESPONSES[[#This Row],[Age]]="42 -53",3, SINGLE_RESPONSES[[#This Row],[Age]]="54 - 65",4, SINGLE_RESPONSES[[#This Row],[Age]]="66 and above",5)</f>
        <v>2</v>
      </c>
      <c r="E101" t="s">
        <v>31</v>
      </c>
      <c r="F101" t="s">
        <v>32</v>
      </c>
      <c r="G101" t="s">
        <v>369</v>
      </c>
      <c r="H101" t="s">
        <v>716</v>
      </c>
      <c r="I101" t="s">
        <v>369</v>
      </c>
      <c r="J101" t="s">
        <v>503</v>
      </c>
      <c r="K101" t="s">
        <v>39</v>
      </c>
      <c r="L101" t="s">
        <v>504</v>
      </c>
      <c r="M101">
        <v>10</v>
      </c>
      <c r="N101" t="s">
        <v>32</v>
      </c>
      <c r="O101" t="s">
        <v>43</v>
      </c>
      <c r="P101" t="s">
        <v>32</v>
      </c>
      <c r="Q101" t="s">
        <v>505</v>
      </c>
      <c r="R101">
        <v>6</v>
      </c>
    </row>
    <row r="102" spans="1:18" x14ac:dyDescent="0.25">
      <c r="A102" t="s">
        <v>506</v>
      </c>
      <c r="B102" t="s">
        <v>29</v>
      </c>
      <c r="C102" t="s">
        <v>46</v>
      </c>
      <c r="D102" cm="1">
        <f t="array" ref="D102">_xlfn.IFS(SINGLE_RESPONSES[[#This Row],[Age]]="18 - 29",1, SINGLE_RESPONSES[[#This Row],[Age]]="30 - 41",2,SINGLE_RESPONSES[[#This Row],[Age]]="42 -53",3, SINGLE_RESPONSES[[#This Row],[Age]]="54 - 65",4, SINGLE_RESPONSES[[#This Row],[Age]]="66 and above",5)</f>
        <v>1</v>
      </c>
      <c r="E102" t="s">
        <v>31</v>
      </c>
      <c r="F102" t="s">
        <v>329</v>
      </c>
      <c r="G102" t="s">
        <v>369</v>
      </c>
      <c r="H102" t="s">
        <v>720</v>
      </c>
      <c r="I102" t="s">
        <v>329</v>
      </c>
      <c r="J102" t="s">
        <v>507</v>
      </c>
      <c r="K102" t="s">
        <v>43</v>
      </c>
      <c r="L102" t="s">
        <v>508</v>
      </c>
      <c r="M102">
        <v>5</v>
      </c>
      <c r="N102" t="s">
        <v>32</v>
      </c>
      <c r="O102" t="s">
        <v>43</v>
      </c>
      <c r="P102" t="s">
        <v>747</v>
      </c>
      <c r="Q102" t="s">
        <v>509</v>
      </c>
      <c r="R102">
        <v>1</v>
      </c>
    </row>
    <row r="103" spans="1:18" x14ac:dyDescent="0.25">
      <c r="A103" t="s">
        <v>510</v>
      </c>
      <c r="B103" t="s">
        <v>29</v>
      </c>
      <c r="C103" t="s">
        <v>46</v>
      </c>
      <c r="D103" cm="1">
        <f t="array" ref="D103">_xlfn.IFS(SINGLE_RESPONSES[[#This Row],[Age]]="18 - 29",1, SINGLE_RESPONSES[[#This Row],[Age]]="30 - 41",2,SINGLE_RESPONSES[[#This Row],[Age]]="42 -53",3, SINGLE_RESPONSES[[#This Row],[Age]]="54 - 65",4, SINGLE_RESPONSES[[#This Row],[Age]]="66 and above",5)</f>
        <v>1</v>
      </c>
      <c r="E103" t="s">
        <v>31</v>
      </c>
      <c r="F103" t="s">
        <v>329</v>
      </c>
      <c r="G103" t="s">
        <v>329</v>
      </c>
      <c r="H103" t="s">
        <v>720</v>
      </c>
      <c r="I103" t="s">
        <v>32</v>
      </c>
      <c r="J103" t="s">
        <v>511</v>
      </c>
      <c r="K103" t="s">
        <v>39</v>
      </c>
      <c r="L103" t="s">
        <v>512</v>
      </c>
      <c r="M103">
        <v>8</v>
      </c>
      <c r="N103" t="s">
        <v>369</v>
      </c>
      <c r="O103" t="s">
        <v>39</v>
      </c>
      <c r="P103" t="s">
        <v>32</v>
      </c>
      <c r="Q103" t="s">
        <v>513</v>
      </c>
      <c r="R103">
        <v>5</v>
      </c>
    </row>
    <row r="104" spans="1:18" x14ac:dyDescent="0.25">
      <c r="A104" t="s">
        <v>514</v>
      </c>
      <c r="B104" t="s">
        <v>29</v>
      </c>
      <c r="C104" t="s">
        <v>46</v>
      </c>
      <c r="D104" cm="1">
        <f t="array" ref="D104">_xlfn.IFS(SINGLE_RESPONSES[[#This Row],[Age]]="18 - 29",1, SINGLE_RESPONSES[[#This Row],[Age]]="30 - 41",2,SINGLE_RESPONSES[[#This Row],[Age]]="42 -53",3, SINGLE_RESPONSES[[#This Row],[Age]]="54 - 65",4, SINGLE_RESPONSES[[#This Row],[Age]]="66 and above",5)</f>
        <v>1</v>
      </c>
      <c r="E104" t="s">
        <v>31</v>
      </c>
      <c r="F104" t="s">
        <v>329</v>
      </c>
      <c r="G104" t="s">
        <v>369</v>
      </c>
      <c r="H104" t="s">
        <v>720</v>
      </c>
      <c r="I104" t="s">
        <v>32</v>
      </c>
      <c r="J104" t="s">
        <v>515</v>
      </c>
      <c r="K104" t="s">
        <v>39</v>
      </c>
      <c r="L104" t="s">
        <v>515</v>
      </c>
      <c r="M104">
        <v>10</v>
      </c>
      <c r="N104" t="s">
        <v>369</v>
      </c>
      <c r="O104" t="s">
        <v>89</v>
      </c>
      <c r="P104" t="s">
        <v>747</v>
      </c>
      <c r="Q104" t="s">
        <v>516</v>
      </c>
      <c r="R104">
        <v>4</v>
      </c>
    </row>
    <row r="105" spans="1:18" x14ac:dyDescent="0.25">
      <c r="A105" t="s">
        <v>517</v>
      </c>
      <c r="B105" t="s">
        <v>84</v>
      </c>
      <c r="C105" t="s">
        <v>46</v>
      </c>
      <c r="D105" cm="1">
        <f t="array" ref="D105">_xlfn.IFS(SINGLE_RESPONSES[[#This Row],[Age]]="18 - 29",1, SINGLE_RESPONSES[[#This Row],[Age]]="30 - 41",2,SINGLE_RESPONSES[[#This Row],[Age]]="42 -53",3, SINGLE_RESPONSES[[#This Row],[Age]]="54 - 65",4, SINGLE_RESPONSES[[#This Row],[Age]]="66 and above",5)</f>
        <v>1</v>
      </c>
      <c r="E105" t="s">
        <v>389</v>
      </c>
      <c r="F105" t="s">
        <v>32</v>
      </c>
      <c r="G105" t="s">
        <v>32</v>
      </c>
      <c r="H105" t="s">
        <v>720</v>
      </c>
      <c r="I105" t="s">
        <v>329</v>
      </c>
      <c r="J105" t="s">
        <v>518</v>
      </c>
      <c r="K105" t="s">
        <v>39</v>
      </c>
      <c r="L105" t="s">
        <v>519</v>
      </c>
      <c r="M105">
        <v>8</v>
      </c>
      <c r="N105" t="s">
        <v>717</v>
      </c>
      <c r="O105" t="s">
        <v>43</v>
      </c>
      <c r="P105" t="s">
        <v>32</v>
      </c>
      <c r="Q105" t="s">
        <v>520</v>
      </c>
      <c r="R105">
        <v>1</v>
      </c>
    </row>
    <row r="106" spans="1:18" x14ac:dyDescent="0.25">
      <c r="A106" t="s">
        <v>521</v>
      </c>
      <c r="B106" t="s">
        <v>29</v>
      </c>
      <c r="C106" t="s">
        <v>204</v>
      </c>
      <c r="D106" cm="1">
        <f t="array" ref="D106">_xlfn.IFS(SINGLE_RESPONSES[[#This Row],[Age]]="18 - 29",1, SINGLE_RESPONSES[[#This Row],[Age]]="30 - 41",2,SINGLE_RESPONSES[[#This Row],[Age]]="42 -53",3, SINGLE_RESPONSES[[#This Row],[Age]]="54 - 65",4, SINGLE_RESPONSES[[#This Row],[Age]]="66 and above",5)</f>
        <v>2</v>
      </c>
      <c r="E106" t="s">
        <v>31</v>
      </c>
      <c r="F106" t="s">
        <v>32</v>
      </c>
      <c r="G106" t="s">
        <v>32</v>
      </c>
      <c r="H106" t="s">
        <v>720</v>
      </c>
      <c r="I106" t="s">
        <v>329</v>
      </c>
      <c r="J106" t="s">
        <v>522</v>
      </c>
      <c r="K106" t="s">
        <v>39</v>
      </c>
      <c r="L106" t="s">
        <v>523</v>
      </c>
      <c r="M106">
        <v>10</v>
      </c>
      <c r="N106" t="s">
        <v>746</v>
      </c>
      <c r="O106" t="s">
        <v>43</v>
      </c>
      <c r="P106" t="s">
        <v>747</v>
      </c>
      <c r="Q106" t="s">
        <v>525</v>
      </c>
      <c r="R106">
        <v>7</v>
      </c>
    </row>
    <row r="107" spans="1:18" x14ac:dyDescent="0.25">
      <c r="A107" t="s">
        <v>526</v>
      </c>
      <c r="B107" t="s">
        <v>29</v>
      </c>
      <c r="C107" t="s">
        <v>46</v>
      </c>
      <c r="D107" cm="1">
        <f t="array" ref="D107">_xlfn.IFS(SINGLE_RESPONSES[[#This Row],[Age]]="18 - 29",1, SINGLE_RESPONSES[[#This Row],[Age]]="30 - 41",2,SINGLE_RESPONSES[[#This Row],[Age]]="42 -53",3, SINGLE_RESPONSES[[#This Row],[Age]]="54 - 65",4, SINGLE_RESPONSES[[#This Row],[Age]]="66 and above",5)</f>
        <v>1</v>
      </c>
      <c r="E107" t="s">
        <v>31</v>
      </c>
      <c r="F107" t="s">
        <v>329</v>
      </c>
      <c r="G107" t="s">
        <v>32</v>
      </c>
      <c r="H107" t="s">
        <v>720</v>
      </c>
      <c r="I107" t="s">
        <v>329</v>
      </c>
      <c r="J107" t="s">
        <v>527</v>
      </c>
      <c r="K107" t="s">
        <v>39</v>
      </c>
      <c r="L107" t="s">
        <v>132</v>
      </c>
      <c r="M107">
        <v>6</v>
      </c>
      <c r="N107" t="s">
        <v>329</v>
      </c>
      <c r="O107" t="s">
        <v>43</v>
      </c>
      <c r="P107" t="s">
        <v>747</v>
      </c>
      <c r="Q107" t="s">
        <v>43</v>
      </c>
      <c r="R107">
        <v>10</v>
      </c>
    </row>
    <row r="108" spans="1:18" x14ac:dyDescent="0.25">
      <c r="A108" t="s">
        <v>528</v>
      </c>
      <c r="B108" t="s">
        <v>29</v>
      </c>
      <c r="C108" t="s">
        <v>46</v>
      </c>
      <c r="D108" cm="1">
        <f t="array" ref="D108">_xlfn.IFS(SINGLE_RESPONSES[[#This Row],[Age]]="18 - 29",1, SINGLE_RESPONSES[[#This Row],[Age]]="30 - 41",2,SINGLE_RESPONSES[[#This Row],[Age]]="42 -53",3, SINGLE_RESPONSES[[#This Row],[Age]]="54 - 65",4, SINGLE_RESPONSES[[#This Row],[Age]]="66 and above",5)</f>
        <v>1</v>
      </c>
      <c r="E108" t="s">
        <v>31</v>
      </c>
      <c r="F108" t="s">
        <v>329</v>
      </c>
      <c r="G108" t="s">
        <v>329</v>
      </c>
      <c r="H108" t="s">
        <v>718</v>
      </c>
      <c r="I108" t="s">
        <v>32</v>
      </c>
      <c r="J108" t="s">
        <v>530</v>
      </c>
      <c r="K108" t="s">
        <v>39</v>
      </c>
      <c r="L108" t="s">
        <v>531</v>
      </c>
      <c r="M108">
        <v>8</v>
      </c>
      <c r="N108" t="s">
        <v>32</v>
      </c>
      <c r="O108" t="s">
        <v>43</v>
      </c>
      <c r="P108" t="s">
        <v>747</v>
      </c>
      <c r="Q108" t="s">
        <v>532</v>
      </c>
      <c r="R108">
        <v>6</v>
      </c>
    </row>
    <row r="109" spans="1:18" x14ac:dyDescent="0.25">
      <c r="A109" t="s">
        <v>533</v>
      </c>
      <c r="B109" t="s">
        <v>29</v>
      </c>
      <c r="C109" t="s">
        <v>46</v>
      </c>
      <c r="D109" cm="1">
        <f t="array" ref="D109">_xlfn.IFS(SINGLE_RESPONSES[[#This Row],[Age]]="18 - 29",1, SINGLE_RESPONSES[[#This Row],[Age]]="30 - 41",2,SINGLE_RESPONSES[[#This Row],[Age]]="42 -53",3, SINGLE_RESPONSES[[#This Row],[Age]]="54 - 65",4, SINGLE_RESPONSES[[#This Row],[Age]]="66 and above",5)</f>
        <v>1</v>
      </c>
      <c r="E109" t="s">
        <v>31</v>
      </c>
      <c r="F109" t="s">
        <v>32</v>
      </c>
      <c r="G109" t="s">
        <v>32</v>
      </c>
      <c r="H109" t="s">
        <v>731</v>
      </c>
      <c r="I109" t="s">
        <v>32</v>
      </c>
      <c r="J109" t="s">
        <v>534</v>
      </c>
      <c r="K109" t="s">
        <v>39</v>
      </c>
      <c r="L109" t="s">
        <v>535</v>
      </c>
      <c r="M109">
        <v>3</v>
      </c>
      <c r="N109" t="s">
        <v>32</v>
      </c>
      <c r="O109" t="s">
        <v>43</v>
      </c>
      <c r="P109" t="s">
        <v>32</v>
      </c>
      <c r="Q109" t="s">
        <v>536</v>
      </c>
      <c r="R109">
        <v>9</v>
      </c>
    </row>
    <row r="110" spans="1:18" x14ac:dyDescent="0.25">
      <c r="A110" t="s">
        <v>537</v>
      </c>
      <c r="B110" t="s">
        <v>29</v>
      </c>
      <c r="C110" t="s">
        <v>46</v>
      </c>
      <c r="D110" cm="1">
        <f t="array" ref="D110">_xlfn.IFS(SINGLE_RESPONSES[[#This Row],[Age]]="18 - 29",1, SINGLE_RESPONSES[[#This Row],[Age]]="30 - 41",2,SINGLE_RESPONSES[[#This Row],[Age]]="42 -53",3, SINGLE_RESPONSES[[#This Row],[Age]]="54 - 65",4, SINGLE_RESPONSES[[#This Row],[Age]]="66 and above",5)</f>
        <v>1</v>
      </c>
      <c r="E110" t="s">
        <v>389</v>
      </c>
      <c r="F110" t="s">
        <v>32</v>
      </c>
      <c r="G110" t="s">
        <v>32</v>
      </c>
      <c r="H110" t="s">
        <v>720</v>
      </c>
      <c r="I110" t="s">
        <v>32</v>
      </c>
      <c r="J110" t="s">
        <v>538</v>
      </c>
      <c r="K110" t="s">
        <v>39</v>
      </c>
      <c r="L110" t="s">
        <v>539</v>
      </c>
      <c r="M110">
        <v>10</v>
      </c>
      <c r="N110" t="s">
        <v>329</v>
      </c>
      <c r="O110" t="s">
        <v>39</v>
      </c>
      <c r="P110" t="s">
        <v>32</v>
      </c>
      <c r="Q110" t="s">
        <v>540</v>
      </c>
      <c r="R110">
        <v>7</v>
      </c>
    </row>
    <row r="111" spans="1:18" x14ac:dyDescent="0.25">
      <c r="A111" t="s">
        <v>541</v>
      </c>
      <c r="B111" t="s">
        <v>29</v>
      </c>
      <c r="C111" t="s">
        <v>46</v>
      </c>
      <c r="D111" cm="1">
        <f t="array" ref="D111">_xlfn.IFS(SINGLE_RESPONSES[[#This Row],[Age]]="18 - 29",1, SINGLE_RESPONSES[[#This Row],[Age]]="30 - 41",2,SINGLE_RESPONSES[[#This Row],[Age]]="42 -53",3, SINGLE_RESPONSES[[#This Row],[Age]]="54 - 65",4, SINGLE_RESPONSES[[#This Row],[Age]]="66 and above",5)</f>
        <v>1</v>
      </c>
      <c r="E111" t="s">
        <v>31</v>
      </c>
      <c r="F111" t="s">
        <v>329</v>
      </c>
      <c r="G111" t="s">
        <v>329</v>
      </c>
      <c r="H111" t="s">
        <v>720</v>
      </c>
      <c r="I111" t="s">
        <v>329</v>
      </c>
      <c r="J111" t="s">
        <v>55</v>
      </c>
      <c r="K111" t="s">
        <v>39</v>
      </c>
      <c r="L111" t="s">
        <v>542</v>
      </c>
      <c r="M111">
        <v>3</v>
      </c>
      <c r="N111" t="s">
        <v>329</v>
      </c>
      <c r="O111" t="s">
        <v>39</v>
      </c>
      <c r="P111" t="s">
        <v>329</v>
      </c>
      <c r="Q111" t="s">
        <v>543</v>
      </c>
      <c r="R111">
        <v>1</v>
      </c>
    </row>
    <row r="112" spans="1:18" x14ac:dyDescent="0.25">
      <c r="A112" t="s">
        <v>544</v>
      </c>
      <c r="B112" t="s">
        <v>29</v>
      </c>
      <c r="C112" t="s">
        <v>46</v>
      </c>
      <c r="D112" cm="1">
        <f t="array" ref="D112">_xlfn.IFS(SINGLE_RESPONSES[[#This Row],[Age]]="18 - 29",1, SINGLE_RESPONSES[[#This Row],[Age]]="30 - 41",2,SINGLE_RESPONSES[[#This Row],[Age]]="42 -53",3, SINGLE_RESPONSES[[#This Row],[Age]]="54 - 65",4, SINGLE_RESPONSES[[#This Row],[Age]]="66 and above",5)</f>
        <v>1</v>
      </c>
      <c r="E112" t="s">
        <v>31</v>
      </c>
      <c r="F112" t="s">
        <v>329</v>
      </c>
      <c r="G112" t="s">
        <v>717</v>
      </c>
      <c r="H112" t="s">
        <v>716</v>
      </c>
      <c r="I112" t="s">
        <v>329</v>
      </c>
      <c r="J112" t="s">
        <v>545</v>
      </c>
      <c r="K112" t="s">
        <v>39</v>
      </c>
      <c r="L112" t="s">
        <v>546</v>
      </c>
      <c r="M112">
        <v>9</v>
      </c>
      <c r="N112" t="s">
        <v>369</v>
      </c>
      <c r="O112" t="s">
        <v>39</v>
      </c>
      <c r="P112" t="s">
        <v>32</v>
      </c>
      <c r="Q112" t="s">
        <v>547</v>
      </c>
      <c r="R112">
        <v>7</v>
      </c>
    </row>
    <row r="113" spans="1:18" x14ac:dyDescent="0.25">
      <c r="A113" t="s">
        <v>548</v>
      </c>
      <c r="B113" t="s">
        <v>29</v>
      </c>
      <c r="C113" t="s">
        <v>46</v>
      </c>
      <c r="D113" cm="1">
        <f t="array" ref="D113">_xlfn.IFS(SINGLE_RESPONSES[[#This Row],[Age]]="18 - 29",1, SINGLE_RESPONSES[[#This Row],[Age]]="30 - 41",2,SINGLE_RESPONSES[[#This Row],[Age]]="42 -53",3, SINGLE_RESPONSES[[#This Row],[Age]]="54 - 65",4, SINGLE_RESPONSES[[#This Row],[Age]]="66 and above",5)</f>
        <v>1</v>
      </c>
      <c r="E113" t="s">
        <v>549</v>
      </c>
      <c r="F113" t="s">
        <v>329</v>
      </c>
      <c r="G113" t="s">
        <v>329</v>
      </c>
      <c r="H113" t="s">
        <v>729</v>
      </c>
      <c r="I113" t="s">
        <v>329</v>
      </c>
      <c r="J113" t="s">
        <v>551</v>
      </c>
      <c r="K113" t="s">
        <v>43</v>
      </c>
      <c r="L113" t="s">
        <v>552</v>
      </c>
      <c r="M113">
        <v>8</v>
      </c>
      <c r="N113" t="s">
        <v>746</v>
      </c>
      <c r="O113" t="s">
        <v>43</v>
      </c>
      <c r="P113" t="s">
        <v>747</v>
      </c>
      <c r="Q113" t="s">
        <v>554</v>
      </c>
      <c r="R113">
        <v>5</v>
      </c>
    </row>
    <row r="114" spans="1:18" x14ac:dyDescent="0.25">
      <c r="A114" t="s">
        <v>555</v>
      </c>
      <c r="B114" t="s">
        <v>84</v>
      </c>
      <c r="C114" t="s">
        <v>46</v>
      </c>
      <c r="D114" cm="1">
        <f t="array" ref="D114">_xlfn.IFS(SINGLE_RESPONSES[[#This Row],[Age]]="18 - 29",1, SINGLE_RESPONSES[[#This Row],[Age]]="30 - 41",2,SINGLE_RESPONSES[[#This Row],[Age]]="42 -53",3, SINGLE_RESPONSES[[#This Row],[Age]]="54 - 65",4, SINGLE_RESPONSES[[#This Row],[Age]]="66 and above",5)</f>
        <v>1</v>
      </c>
      <c r="E114" t="s">
        <v>350</v>
      </c>
      <c r="F114" t="s">
        <v>32</v>
      </c>
      <c r="G114" t="s">
        <v>329</v>
      </c>
      <c r="H114" t="s">
        <v>720</v>
      </c>
      <c r="I114" t="s">
        <v>369</v>
      </c>
      <c r="J114" t="s">
        <v>556</v>
      </c>
      <c r="K114" t="s">
        <v>39</v>
      </c>
      <c r="L114" t="s">
        <v>132</v>
      </c>
      <c r="M114">
        <v>9</v>
      </c>
      <c r="N114" t="s">
        <v>717</v>
      </c>
      <c r="O114" t="s">
        <v>39</v>
      </c>
      <c r="P114" t="s">
        <v>32</v>
      </c>
      <c r="Q114" t="s">
        <v>557</v>
      </c>
      <c r="R114">
        <v>8</v>
      </c>
    </row>
    <row r="115" spans="1:18" x14ac:dyDescent="0.25">
      <c r="A115" t="s">
        <v>558</v>
      </c>
      <c r="B115" t="s">
        <v>84</v>
      </c>
      <c r="C115" t="s">
        <v>46</v>
      </c>
      <c r="D115" cm="1">
        <f t="array" ref="D115">_xlfn.IFS(SINGLE_RESPONSES[[#This Row],[Age]]="18 - 29",1, SINGLE_RESPONSES[[#This Row],[Age]]="30 - 41",2,SINGLE_RESPONSES[[#This Row],[Age]]="42 -53",3, SINGLE_RESPONSES[[#This Row],[Age]]="54 - 65",4, SINGLE_RESPONSES[[#This Row],[Age]]="66 and above",5)</f>
        <v>1</v>
      </c>
      <c r="E115" t="s">
        <v>31</v>
      </c>
      <c r="F115" t="s">
        <v>369</v>
      </c>
      <c r="G115" t="s">
        <v>369</v>
      </c>
      <c r="H115" t="s">
        <v>722</v>
      </c>
      <c r="I115" t="s">
        <v>329</v>
      </c>
      <c r="J115" t="s">
        <v>559</v>
      </c>
      <c r="K115" t="s">
        <v>39</v>
      </c>
      <c r="L115" t="s">
        <v>560</v>
      </c>
      <c r="M115">
        <v>7</v>
      </c>
      <c r="N115" t="s">
        <v>746</v>
      </c>
      <c r="O115" t="s">
        <v>43</v>
      </c>
      <c r="P115" t="s">
        <v>747</v>
      </c>
      <c r="Q115" t="s">
        <v>561</v>
      </c>
      <c r="R115">
        <v>4</v>
      </c>
    </row>
    <row r="116" spans="1:18" x14ac:dyDescent="0.25">
      <c r="A116" t="s">
        <v>562</v>
      </c>
      <c r="B116" t="s">
        <v>563</v>
      </c>
      <c r="C116" t="s">
        <v>46</v>
      </c>
      <c r="D116" cm="1">
        <f t="array" ref="D116">_xlfn.IFS(SINGLE_RESPONSES[[#This Row],[Age]]="18 - 29",1, SINGLE_RESPONSES[[#This Row],[Age]]="30 - 41",2,SINGLE_RESPONSES[[#This Row],[Age]]="42 -53",3, SINGLE_RESPONSES[[#This Row],[Age]]="54 - 65",4, SINGLE_RESPONSES[[#This Row],[Age]]="66 and above",5)</f>
        <v>1</v>
      </c>
      <c r="E116" t="s">
        <v>31</v>
      </c>
      <c r="F116" t="s">
        <v>329</v>
      </c>
      <c r="G116" t="s">
        <v>717</v>
      </c>
      <c r="H116" t="s">
        <v>720</v>
      </c>
      <c r="I116" t="s">
        <v>329</v>
      </c>
      <c r="J116" t="s">
        <v>564</v>
      </c>
      <c r="K116" t="s">
        <v>39</v>
      </c>
      <c r="L116" t="s">
        <v>565</v>
      </c>
      <c r="M116">
        <v>10</v>
      </c>
      <c r="N116" t="s">
        <v>329</v>
      </c>
      <c r="O116" t="s">
        <v>39</v>
      </c>
      <c r="P116" t="s">
        <v>32</v>
      </c>
      <c r="Q116" t="s">
        <v>566</v>
      </c>
      <c r="R116">
        <v>10</v>
      </c>
    </row>
    <row r="117" spans="1:18" x14ac:dyDescent="0.25">
      <c r="A117" t="s">
        <v>567</v>
      </c>
      <c r="B117" t="s">
        <v>84</v>
      </c>
      <c r="C117" t="s">
        <v>46</v>
      </c>
      <c r="D117" cm="1">
        <f t="array" ref="D117">_xlfn.IFS(SINGLE_RESPONSES[[#This Row],[Age]]="18 - 29",1, SINGLE_RESPONSES[[#This Row],[Age]]="30 - 41",2,SINGLE_RESPONSES[[#This Row],[Age]]="42 -53",3, SINGLE_RESPONSES[[#This Row],[Age]]="54 - 65",4, SINGLE_RESPONSES[[#This Row],[Age]]="66 and above",5)</f>
        <v>1</v>
      </c>
      <c r="E117" t="s">
        <v>31</v>
      </c>
      <c r="F117" t="s">
        <v>329</v>
      </c>
      <c r="G117" t="s">
        <v>329</v>
      </c>
      <c r="H117" t="s">
        <v>722</v>
      </c>
      <c r="I117" t="s">
        <v>32</v>
      </c>
      <c r="J117" t="s">
        <v>568</v>
      </c>
      <c r="K117" t="s">
        <v>39</v>
      </c>
      <c r="L117" t="s">
        <v>569</v>
      </c>
      <c r="M117">
        <v>10</v>
      </c>
      <c r="N117" t="s">
        <v>32</v>
      </c>
      <c r="O117" t="s">
        <v>43</v>
      </c>
      <c r="P117" t="s">
        <v>32</v>
      </c>
      <c r="Q117" t="s">
        <v>570</v>
      </c>
      <c r="R117">
        <v>10</v>
      </c>
    </row>
    <row r="118" spans="1:18" x14ac:dyDescent="0.25">
      <c r="A118" t="s">
        <v>571</v>
      </c>
      <c r="B118" t="s">
        <v>84</v>
      </c>
      <c r="C118" t="s">
        <v>204</v>
      </c>
      <c r="D118" cm="1">
        <f t="array" ref="D118">_xlfn.IFS(SINGLE_RESPONSES[[#This Row],[Age]]="18 - 29",1, SINGLE_RESPONSES[[#This Row],[Age]]="30 - 41",2,SINGLE_RESPONSES[[#This Row],[Age]]="42 -53",3, SINGLE_RESPONSES[[#This Row],[Age]]="54 - 65",4, SINGLE_RESPONSES[[#This Row],[Age]]="66 and above",5)</f>
        <v>2</v>
      </c>
      <c r="E118" t="s">
        <v>31</v>
      </c>
      <c r="F118" t="s">
        <v>329</v>
      </c>
      <c r="G118" t="s">
        <v>329</v>
      </c>
      <c r="H118" t="s">
        <v>720</v>
      </c>
      <c r="I118" t="s">
        <v>329</v>
      </c>
      <c r="J118" t="s">
        <v>572</v>
      </c>
      <c r="K118" t="s">
        <v>39</v>
      </c>
      <c r="L118" t="s">
        <v>573</v>
      </c>
      <c r="M118">
        <v>9</v>
      </c>
      <c r="N118" t="s">
        <v>746</v>
      </c>
      <c r="O118" t="s">
        <v>43</v>
      </c>
      <c r="P118" t="s">
        <v>747</v>
      </c>
      <c r="Q118" t="s">
        <v>575</v>
      </c>
      <c r="R118">
        <v>3</v>
      </c>
    </row>
    <row r="119" spans="1:18" x14ac:dyDescent="0.25">
      <c r="A119" t="s">
        <v>576</v>
      </c>
      <c r="B119" t="s">
        <v>84</v>
      </c>
      <c r="C119" t="s">
        <v>46</v>
      </c>
      <c r="D119" cm="1">
        <f t="array" ref="D119">_xlfn.IFS(SINGLE_RESPONSES[[#This Row],[Age]]="18 - 29",1, SINGLE_RESPONSES[[#This Row],[Age]]="30 - 41",2,SINGLE_RESPONSES[[#This Row],[Age]]="42 -53",3, SINGLE_RESPONSES[[#This Row],[Age]]="54 - 65",4, SINGLE_RESPONSES[[#This Row],[Age]]="66 and above",5)</f>
        <v>1</v>
      </c>
      <c r="E119" t="s">
        <v>31</v>
      </c>
      <c r="F119" t="s">
        <v>329</v>
      </c>
      <c r="G119" t="s">
        <v>329</v>
      </c>
      <c r="H119" t="s">
        <v>720</v>
      </c>
      <c r="I119" t="s">
        <v>32</v>
      </c>
      <c r="J119" t="s">
        <v>577</v>
      </c>
      <c r="K119" t="s">
        <v>39</v>
      </c>
      <c r="L119" t="s">
        <v>578</v>
      </c>
      <c r="M119">
        <v>7</v>
      </c>
      <c r="N119" t="s">
        <v>32</v>
      </c>
      <c r="O119" t="s">
        <v>89</v>
      </c>
      <c r="P119" t="s">
        <v>747</v>
      </c>
      <c r="Q119" t="s">
        <v>579</v>
      </c>
      <c r="R119">
        <v>5</v>
      </c>
    </row>
    <row r="120" spans="1:18" x14ac:dyDescent="0.25">
      <c r="A120" t="s">
        <v>580</v>
      </c>
      <c r="B120" t="s">
        <v>29</v>
      </c>
      <c r="C120" t="s">
        <v>46</v>
      </c>
      <c r="D120" cm="1">
        <f t="array" ref="D120">_xlfn.IFS(SINGLE_RESPONSES[[#This Row],[Age]]="18 - 29",1, SINGLE_RESPONSES[[#This Row],[Age]]="30 - 41",2,SINGLE_RESPONSES[[#This Row],[Age]]="42 -53",3, SINGLE_RESPONSES[[#This Row],[Age]]="54 - 65",4, SINGLE_RESPONSES[[#This Row],[Age]]="66 and above",5)</f>
        <v>1</v>
      </c>
      <c r="E120" t="s">
        <v>31</v>
      </c>
      <c r="F120" t="s">
        <v>329</v>
      </c>
      <c r="G120" t="s">
        <v>32</v>
      </c>
      <c r="H120" t="s">
        <v>731</v>
      </c>
      <c r="I120" t="s">
        <v>32</v>
      </c>
      <c r="J120" t="s">
        <v>581</v>
      </c>
      <c r="K120" t="s">
        <v>39</v>
      </c>
      <c r="L120" t="s">
        <v>582</v>
      </c>
      <c r="M120">
        <v>8</v>
      </c>
      <c r="N120" t="s">
        <v>32</v>
      </c>
      <c r="O120" t="s">
        <v>89</v>
      </c>
      <c r="P120" t="s">
        <v>32</v>
      </c>
      <c r="Q120" t="s">
        <v>583</v>
      </c>
      <c r="R120">
        <v>9</v>
      </c>
    </row>
    <row r="121" spans="1:18" x14ac:dyDescent="0.25">
      <c r="A121" t="s">
        <v>584</v>
      </c>
      <c r="B121" t="s">
        <v>29</v>
      </c>
      <c r="C121" t="s">
        <v>46</v>
      </c>
      <c r="D121" cm="1">
        <f t="array" ref="D121">_xlfn.IFS(SINGLE_RESPONSES[[#This Row],[Age]]="18 - 29",1, SINGLE_RESPONSES[[#This Row],[Age]]="30 - 41",2,SINGLE_RESPONSES[[#This Row],[Age]]="42 -53",3, SINGLE_RESPONSES[[#This Row],[Age]]="54 - 65",4, SINGLE_RESPONSES[[#This Row],[Age]]="66 and above",5)</f>
        <v>1</v>
      </c>
      <c r="E121" t="s">
        <v>31</v>
      </c>
      <c r="F121" t="s">
        <v>329</v>
      </c>
      <c r="G121" t="s">
        <v>32</v>
      </c>
      <c r="H121" t="s">
        <v>722</v>
      </c>
      <c r="I121" t="s">
        <v>32</v>
      </c>
      <c r="J121" t="s">
        <v>585</v>
      </c>
      <c r="K121" t="s">
        <v>39</v>
      </c>
      <c r="L121" t="s">
        <v>586</v>
      </c>
      <c r="M121">
        <v>8</v>
      </c>
      <c r="N121" t="s">
        <v>32</v>
      </c>
      <c r="O121" t="s">
        <v>43</v>
      </c>
      <c r="P121" t="s">
        <v>747</v>
      </c>
      <c r="Q121" t="s">
        <v>587</v>
      </c>
      <c r="R121">
        <v>3</v>
      </c>
    </row>
    <row r="122" spans="1:18" x14ac:dyDescent="0.25">
      <c r="A122" t="s">
        <v>588</v>
      </c>
      <c r="B122" t="s">
        <v>29</v>
      </c>
      <c r="C122" t="s">
        <v>46</v>
      </c>
      <c r="D122" cm="1">
        <f t="array" ref="D122">_xlfn.IFS(SINGLE_RESPONSES[[#This Row],[Age]]="18 - 29",1, SINGLE_RESPONSES[[#This Row],[Age]]="30 - 41",2,SINGLE_RESPONSES[[#This Row],[Age]]="42 -53",3, SINGLE_RESPONSES[[#This Row],[Age]]="54 - 65",4, SINGLE_RESPONSES[[#This Row],[Age]]="66 and above",5)</f>
        <v>1</v>
      </c>
      <c r="E122" t="s">
        <v>31</v>
      </c>
      <c r="F122" t="s">
        <v>32</v>
      </c>
      <c r="G122" t="s">
        <v>369</v>
      </c>
      <c r="H122" t="s">
        <v>720</v>
      </c>
      <c r="I122" t="s">
        <v>32</v>
      </c>
      <c r="J122" t="s">
        <v>589</v>
      </c>
      <c r="K122" t="s">
        <v>39</v>
      </c>
      <c r="L122" t="s">
        <v>590</v>
      </c>
      <c r="M122">
        <v>8</v>
      </c>
      <c r="N122" t="s">
        <v>329</v>
      </c>
      <c r="O122" t="s">
        <v>43</v>
      </c>
      <c r="P122" t="s">
        <v>747</v>
      </c>
      <c r="Q122" t="s">
        <v>591</v>
      </c>
      <c r="R122">
        <v>1</v>
      </c>
    </row>
    <row r="123" spans="1:18" x14ac:dyDescent="0.25">
      <c r="A123" t="s">
        <v>592</v>
      </c>
      <c r="B123" t="s">
        <v>29</v>
      </c>
      <c r="C123" t="s">
        <v>46</v>
      </c>
      <c r="D123" cm="1">
        <f t="array" ref="D123">_xlfn.IFS(SINGLE_RESPONSES[[#This Row],[Age]]="18 - 29",1, SINGLE_RESPONSES[[#This Row],[Age]]="30 - 41",2,SINGLE_RESPONSES[[#This Row],[Age]]="42 -53",3, SINGLE_RESPONSES[[#This Row],[Age]]="54 - 65",4, SINGLE_RESPONSES[[#This Row],[Age]]="66 and above",5)</f>
        <v>1</v>
      </c>
      <c r="E123" t="s">
        <v>31</v>
      </c>
      <c r="F123" t="s">
        <v>32</v>
      </c>
      <c r="G123" t="s">
        <v>32</v>
      </c>
      <c r="H123" t="s">
        <v>720</v>
      </c>
      <c r="I123" t="s">
        <v>329</v>
      </c>
      <c r="J123" t="s">
        <v>593</v>
      </c>
      <c r="K123" t="s">
        <v>39</v>
      </c>
      <c r="L123" t="s">
        <v>594</v>
      </c>
      <c r="M123">
        <v>8</v>
      </c>
      <c r="N123" t="s">
        <v>329</v>
      </c>
      <c r="O123" t="s">
        <v>43</v>
      </c>
      <c r="P123" t="s">
        <v>747</v>
      </c>
      <c r="Q123" t="s">
        <v>595</v>
      </c>
      <c r="R123">
        <v>6</v>
      </c>
    </row>
    <row r="124" spans="1:18" x14ac:dyDescent="0.25">
      <c r="A124" t="s">
        <v>596</v>
      </c>
      <c r="B124" t="s">
        <v>84</v>
      </c>
      <c r="C124" t="s">
        <v>46</v>
      </c>
      <c r="D124" cm="1">
        <f t="array" ref="D124">_xlfn.IFS(SINGLE_RESPONSES[[#This Row],[Age]]="18 - 29",1, SINGLE_RESPONSES[[#This Row],[Age]]="30 - 41",2,SINGLE_RESPONSES[[#This Row],[Age]]="42 -53",3, SINGLE_RESPONSES[[#This Row],[Age]]="54 - 65",4, SINGLE_RESPONSES[[#This Row],[Age]]="66 and above",5)</f>
        <v>1</v>
      </c>
      <c r="E124" t="s">
        <v>31</v>
      </c>
      <c r="F124" t="s">
        <v>329</v>
      </c>
      <c r="G124" t="s">
        <v>329</v>
      </c>
      <c r="H124" t="s">
        <v>731</v>
      </c>
      <c r="I124" t="s">
        <v>329</v>
      </c>
      <c r="J124" t="s">
        <v>597</v>
      </c>
      <c r="K124" t="s">
        <v>39</v>
      </c>
      <c r="L124" t="s">
        <v>598</v>
      </c>
      <c r="M124">
        <v>8</v>
      </c>
      <c r="N124" t="s">
        <v>329</v>
      </c>
      <c r="O124" t="s">
        <v>43</v>
      </c>
      <c r="P124" t="s">
        <v>747</v>
      </c>
      <c r="Q124" t="s">
        <v>599</v>
      </c>
      <c r="R124">
        <v>7</v>
      </c>
    </row>
    <row r="125" spans="1:18" x14ac:dyDescent="0.25">
      <c r="A125" t="s">
        <v>600</v>
      </c>
      <c r="B125" t="s">
        <v>29</v>
      </c>
      <c r="C125" t="s">
        <v>46</v>
      </c>
      <c r="D125" cm="1">
        <f t="array" ref="D125">_xlfn.IFS(SINGLE_RESPONSES[[#This Row],[Age]]="18 - 29",1, SINGLE_RESPONSES[[#This Row],[Age]]="30 - 41",2,SINGLE_RESPONSES[[#This Row],[Age]]="42 -53",3, SINGLE_RESPONSES[[#This Row],[Age]]="54 - 65",4, SINGLE_RESPONSES[[#This Row],[Age]]="66 and above",5)</f>
        <v>1</v>
      </c>
      <c r="E125" t="s">
        <v>31</v>
      </c>
      <c r="F125" t="s">
        <v>329</v>
      </c>
      <c r="G125" t="s">
        <v>329</v>
      </c>
      <c r="H125" t="s">
        <v>720</v>
      </c>
      <c r="I125" t="s">
        <v>32</v>
      </c>
      <c r="J125" t="s">
        <v>601</v>
      </c>
      <c r="K125" t="s">
        <v>39</v>
      </c>
      <c r="L125" t="s">
        <v>602</v>
      </c>
      <c r="M125">
        <v>10</v>
      </c>
      <c r="N125" t="s">
        <v>369</v>
      </c>
      <c r="O125" t="s">
        <v>43</v>
      </c>
      <c r="P125" t="s">
        <v>747</v>
      </c>
      <c r="Q125" t="s">
        <v>603</v>
      </c>
      <c r="R125">
        <v>5</v>
      </c>
    </row>
    <row r="126" spans="1:18" x14ac:dyDescent="0.25">
      <c r="A126" t="s">
        <v>604</v>
      </c>
      <c r="B126" t="s">
        <v>84</v>
      </c>
      <c r="C126" t="s">
        <v>46</v>
      </c>
      <c r="D126" cm="1">
        <f t="array" ref="D126">_xlfn.IFS(SINGLE_RESPONSES[[#This Row],[Age]]="18 - 29",1, SINGLE_RESPONSES[[#This Row],[Age]]="30 - 41",2,SINGLE_RESPONSES[[#This Row],[Age]]="42 -53",3, SINGLE_RESPONSES[[#This Row],[Age]]="54 - 65",4, SINGLE_RESPONSES[[#This Row],[Age]]="66 and above",5)</f>
        <v>1</v>
      </c>
      <c r="E126" t="s">
        <v>31</v>
      </c>
      <c r="F126" t="s">
        <v>329</v>
      </c>
      <c r="G126" t="s">
        <v>329</v>
      </c>
      <c r="H126" t="s">
        <v>730</v>
      </c>
      <c r="I126" t="s">
        <v>329</v>
      </c>
      <c r="J126" t="s">
        <v>605</v>
      </c>
      <c r="K126" t="s">
        <v>39</v>
      </c>
      <c r="L126" t="s">
        <v>606</v>
      </c>
      <c r="M126">
        <v>8</v>
      </c>
      <c r="N126" t="s">
        <v>329</v>
      </c>
      <c r="O126" t="s">
        <v>43</v>
      </c>
      <c r="P126" t="s">
        <v>747</v>
      </c>
      <c r="Q126" t="s">
        <v>607</v>
      </c>
      <c r="R126">
        <v>5</v>
      </c>
    </row>
    <row r="127" spans="1:18" x14ac:dyDescent="0.25">
      <c r="A127" t="s">
        <v>608</v>
      </c>
      <c r="B127" t="s">
        <v>29</v>
      </c>
      <c r="C127" t="s">
        <v>46</v>
      </c>
      <c r="D127" cm="1">
        <f t="array" ref="D127">_xlfn.IFS(SINGLE_RESPONSES[[#This Row],[Age]]="18 - 29",1, SINGLE_RESPONSES[[#This Row],[Age]]="30 - 41",2,SINGLE_RESPONSES[[#This Row],[Age]]="42 -53",3, SINGLE_RESPONSES[[#This Row],[Age]]="54 - 65",4, SINGLE_RESPONSES[[#This Row],[Age]]="66 and above",5)</f>
        <v>1</v>
      </c>
      <c r="E127" t="s">
        <v>389</v>
      </c>
      <c r="F127" t="s">
        <v>32</v>
      </c>
      <c r="G127" t="s">
        <v>32</v>
      </c>
      <c r="H127" t="s">
        <v>720</v>
      </c>
      <c r="I127" t="s">
        <v>32</v>
      </c>
      <c r="J127" t="s">
        <v>609</v>
      </c>
      <c r="K127" t="s">
        <v>39</v>
      </c>
      <c r="L127" t="s">
        <v>610</v>
      </c>
      <c r="M127">
        <v>10</v>
      </c>
      <c r="N127" t="s">
        <v>717</v>
      </c>
      <c r="O127" t="s">
        <v>39</v>
      </c>
      <c r="P127" t="s">
        <v>32</v>
      </c>
      <c r="Q127" t="s">
        <v>611</v>
      </c>
      <c r="R127">
        <v>10</v>
      </c>
    </row>
    <row r="128" spans="1:18" x14ac:dyDescent="0.25">
      <c r="A128" t="s">
        <v>612</v>
      </c>
      <c r="B128" t="s">
        <v>29</v>
      </c>
      <c r="C128" t="s">
        <v>46</v>
      </c>
      <c r="D128" cm="1">
        <f t="array" ref="D128">_xlfn.IFS(SINGLE_RESPONSES[[#This Row],[Age]]="18 - 29",1, SINGLE_RESPONSES[[#This Row],[Age]]="30 - 41",2,SINGLE_RESPONSES[[#This Row],[Age]]="42 -53",3, SINGLE_RESPONSES[[#This Row],[Age]]="54 - 65",4, SINGLE_RESPONSES[[#This Row],[Age]]="66 and above",5)</f>
        <v>1</v>
      </c>
      <c r="E128" t="s">
        <v>31</v>
      </c>
      <c r="F128" t="s">
        <v>329</v>
      </c>
      <c r="G128" t="s">
        <v>369</v>
      </c>
      <c r="H128" t="s">
        <v>720</v>
      </c>
      <c r="I128" t="s">
        <v>329</v>
      </c>
      <c r="J128" t="s">
        <v>613</v>
      </c>
      <c r="K128" t="s">
        <v>39</v>
      </c>
      <c r="L128" t="s">
        <v>614</v>
      </c>
      <c r="M128">
        <v>10</v>
      </c>
      <c r="N128" t="s">
        <v>32</v>
      </c>
      <c r="O128" t="s">
        <v>39</v>
      </c>
      <c r="P128" t="s">
        <v>32</v>
      </c>
      <c r="Q128" t="s">
        <v>615</v>
      </c>
      <c r="R128">
        <v>5</v>
      </c>
    </row>
    <row r="129" spans="1:18" x14ac:dyDescent="0.25">
      <c r="A129" t="s">
        <v>616</v>
      </c>
      <c r="B129" t="s">
        <v>29</v>
      </c>
      <c r="C129" t="s">
        <v>46</v>
      </c>
      <c r="D129" cm="1">
        <f t="array" ref="D129">_xlfn.IFS(SINGLE_RESPONSES[[#This Row],[Age]]="18 - 29",1, SINGLE_RESPONSES[[#This Row],[Age]]="30 - 41",2,SINGLE_RESPONSES[[#This Row],[Age]]="42 -53",3, SINGLE_RESPONSES[[#This Row],[Age]]="54 - 65",4, SINGLE_RESPONSES[[#This Row],[Age]]="66 and above",5)</f>
        <v>1</v>
      </c>
      <c r="E129" t="s">
        <v>31</v>
      </c>
      <c r="F129" t="s">
        <v>32</v>
      </c>
      <c r="G129" t="s">
        <v>32</v>
      </c>
      <c r="H129" t="s">
        <v>718</v>
      </c>
      <c r="I129" t="s">
        <v>329</v>
      </c>
      <c r="J129" t="s">
        <v>617</v>
      </c>
      <c r="K129" t="s">
        <v>39</v>
      </c>
      <c r="L129" t="s">
        <v>74</v>
      </c>
      <c r="M129">
        <v>8</v>
      </c>
      <c r="N129" t="s">
        <v>369</v>
      </c>
      <c r="O129" t="s">
        <v>89</v>
      </c>
      <c r="P129" t="s">
        <v>32</v>
      </c>
      <c r="Q129" t="s">
        <v>618</v>
      </c>
      <c r="R129">
        <v>5</v>
      </c>
    </row>
    <row r="130" spans="1:18" x14ac:dyDescent="0.25">
      <c r="A130" t="s">
        <v>619</v>
      </c>
      <c r="B130" t="s">
        <v>29</v>
      </c>
      <c r="C130" t="s">
        <v>46</v>
      </c>
      <c r="D130" cm="1">
        <f t="array" ref="D130">_xlfn.IFS(SINGLE_RESPONSES[[#This Row],[Age]]="18 - 29",1, SINGLE_RESPONSES[[#This Row],[Age]]="30 - 41",2,SINGLE_RESPONSES[[#This Row],[Age]]="42 -53",3, SINGLE_RESPONSES[[#This Row],[Age]]="54 - 65",4, SINGLE_RESPONSES[[#This Row],[Age]]="66 and above",5)</f>
        <v>1</v>
      </c>
      <c r="E130" t="s">
        <v>31</v>
      </c>
      <c r="F130" t="s">
        <v>329</v>
      </c>
      <c r="G130" t="s">
        <v>717</v>
      </c>
      <c r="H130" t="s">
        <v>720</v>
      </c>
      <c r="I130" t="s">
        <v>717</v>
      </c>
      <c r="J130" t="s">
        <v>620</v>
      </c>
      <c r="K130" t="s">
        <v>39</v>
      </c>
      <c r="L130" t="s">
        <v>621</v>
      </c>
      <c r="M130">
        <v>6</v>
      </c>
      <c r="N130" t="s">
        <v>329</v>
      </c>
      <c r="O130" t="s">
        <v>43</v>
      </c>
      <c r="P130" t="s">
        <v>747</v>
      </c>
      <c r="Q130" t="s">
        <v>622</v>
      </c>
      <c r="R130">
        <v>3</v>
      </c>
    </row>
    <row r="131" spans="1:18" x14ac:dyDescent="0.25">
      <c r="A131" t="s">
        <v>623</v>
      </c>
      <c r="B131" t="s">
        <v>29</v>
      </c>
      <c r="C131" t="s">
        <v>46</v>
      </c>
      <c r="D131" cm="1">
        <f t="array" ref="D131">_xlfn.IFS(SINGLE_RESPONSES[[#This Row],[Age]]="18 - 29",1, SINGLE_RESPONSES[[#This Row],[Age]]="30 - 41",2,SINGLE_RESPONSES[[#This Row],[Age]]="42 -53",3, SINGLE_RESPONSES[[#This Row],[Age]]="54 - 65",4, SINGLE_RESPONSES[[#This Row],[Age]]="66 and above",5)</f>
        <v>1</v>
      </c>
      <c r="E131" t="s">
        <v>31</v>
      </c>
      <c r="F131" t="s">
        <v>32</v>
      </c>
      <c r="G131" t="s">
        <v>32</v>
      </c>
      <c r="H131" t="s">
        <v>720</v>
      </c>
      <c r="I131" t="s">
        <v>32</v>
      </c>
      <c r="J131" t="s">
        <v>624</v>
      </c>
      <c r="K131" t="s">
        <v>39</v>
      </c>
      <c r="L131" t="s">
        <v>625</v>
      </c>
      <c r="M131">
        <v>8</v>
      </c>
      <c r="N131" t="s">
        <v>329</v>
      </c>
      <c r="O131" t="s">
        <v>39</v>
      </c>
      <c r="P131" t="s">
        <v>32</v>
      </c>
      <c r="Q131" t="s">
        <v>626</v>
      </c>
      <c r="R131">
        <v>9</v>
      </c>
    </row>
    <row r="132" spans="1:18" x14ac:dyDescent="0.25">
      <c r="A132" t="s">
        <v>627</v>
      </c>
      <c r="B132" t="s">
        <v>29</v>
      </c>
      <c r="C132" t="s">
        <v>628</v>
      </c>
      <c r="D132" cm="1">
        <f t="array" ref="D132">_xlfn.IFS(SINGLE_RESPONSES[[#This Row],[Age]]="18 - 29",1, SINGLE_RESPONSES[[#This Row],[Age]]="30 - 41",2,SINGLE_RESPONSES[[#This Row],[Age]]="42 -53",3, SINGLE_RESPONSES[[#This Row],[Age]]="54 - 65",4, SINGLE_RESPONSES[[#This Row],[Age]]="66 and above",5)</f>
        <v>4</v>
      </c>
      <c r="E132" t="s">
        <v>629</v>
      </c>
      <c r="F132" t="s">
        <v>329</v>
      </c>
      <c r="G132" t="s">
        <v>329</v>
      </c>
      <c r="H132" t="s">
        <v>718</v>
      </c>
      <c r="I132" t="s">
        <v>32</v>
      </c>
      <c r="J132" t="s">
        <v>631</v>
      </c>
      <c r="K132" t="s">
        <v>39</v>
      </c>
      <c r="L132" t="s">
        <v>631</v>
      </c>
      <c r="M132">
        <v>8</v>
      </c>
      <c r="N132" t="s">
        <v>32</v>
      </c>
      <c r="O132" t="s">
        <v>43</v>
      </c>
      <c r="P132" t="s">
        <v>32</v>
      </c>
      <c r="Q132" t="s">
        <v>632</v>
      </c>
      <c r="R132">
        <v>6</v>
      </c>
    </row>
    <row r="133" spans="1:18" x14ac:dyDescent="0.25">
      <c r="A133" t="s">
        <v>633</v>
      </c>
      <c r="B133" t="s">
        <v>29</v>
      </c>
      <c r="C133" t="s">
        <v>46</v>
      </c>
      <c r="D133" cm="1">
        <f t="array" ref="D133">_xlfn.IFS(SINGLE_RESPONSES[[#This Row],[Age]]="18 - 29",1, SINGLE_RESPONSES[[#This Row],[Age]]="30 - 41",2,SINGLE_RESPONSES[[#This Row],[Age]]="42 -53",3, SINGLE_RESPONSES[[#This Row],[Age]]="54 - 65",4, SINGLE_RESPONSES[[#This Row],[Age]]="66 and above",5)</f>
        <v>1</v>
      </c>
      <c r="E133" t="s">
        <v>31</v>
      </c>
      <c r="F133" t="s">
        <v>329</v>
      </c>
      <c r="G133" t="s">
        <v>717</v>
      </c>
      <c r="H133" t="s">
        <v>731</v>
      </c>
      <c r="I133" t="s">
        <v>329</v>
      </c>
      <c r="J133" t="s">
        <v>634</v>
      </c>
      <c r="K133" t="s">
        <v>39</v>
      </c>
      <c r="L133" t="s">
        <v>635</v>
      </c>
      <c r="M133">
        <v>9</v>
      </c>
      <c r="N133" t="s">
        <v>32</v>
      </c>
      <c r="O133" t="s">
        <v>43</v>
      </c>
      <c r="P133" t="s">
        <v>329</v>
      </c>
      <c r="Q133" t="s">
        <v>636</v>
      </c>
      <c r="R133">
        <v>5</v>
      </c>
    </row>
    <row r="134" spans="1:18" x14ac:dyDescent="0.25">
      <c r="A134" t="s">
        <v>637</v>
      </c>
      <c r="B134" t="s">
        <v>84</v>
      </c>
      <c r="C134" t="s">
        <v>46</v>
      </c>
      <c r="D134" cm="1">
        <f t="array" ref="D134">_xlfn.IFS(SINGLE_RESPONSES[[#This Row],[Age]]="18 - 29",1, SINGLE_RESPONSES[[#This Row],[Age]]="30 - 41",2,SINGLE_RESPONSES[[#This Row],[Age]]="42 -53",3, SINGLE_RESPONSES[[#This Row],[Age]]="54 - 65",4, SINGLE_RESPONSES[[#This Row],[Age]]="66 and above",5)</f>
        <v>1</v>
      </c>
      <c r="E134" t="s">
        <v>389</v>
      </c>
      <c r="F134" t="s">
        <v>32</v>
      </c>
      <c r="G134" t="s">
        <v>32</v>
      </c>
      <c r="H134" t="s">
        <v>718</v>
      </c>
      <c r="I134" t="s">
        <v>32</v>
      </c>
      <c r="J134" t="s">
        <v>638</v>
      </c>
      <c r="K134" t="s">
        <v>39</v>
      </c>
      <c r="L134" t="s">
        <v>639</v>
      </c>
      <c r="M134">
        <v>3</v>
      </c>
      <c r="N134" t="s">
        <v>32</v>
      </c>
      <c r="O134" t="s">
        <v>43</v>
      </c>
      <c r="P134" t="s">
        <v>32</v>
      </c>
      <c r="Q134" t="s">
        <v>640</v>
      </c>
      <c r="R134">
        <v>1</v>
      </c>
    </row>
    <row r="135" spans="1:18" x14ac:dyDescent="0.25">
      <c r="A135" t="s">
        <v>641</v>
      </c>
      <c r="B135" t="s">
        <v>29</v>
      </c>
      <c r="C135" t="s">
        <v>46</v>
      </c>
      <c r="D135" cm="1">
        <f t="array" ref="D135">_xlfn.IFS(SINGLE_RESPONSES[[#This Row],[Age]]="18 - 29",1, SINGLE_RESPONSES[[#This Row],[Age]]="30 - 41",2,SINGLE_RESPONSES[[#This Row],[Age]]="42 -53",3, SINGLE_RESPONSES[[#This Row],[Age]]="54 - 65",4, SINGLE_RESPONSES[[#This Row],[Age]]="66 and above",5)</f>
        <v>1</v>
      </c>
      <c r="E135" t="s">
        <v>31</v>
      </c>
      <c r="F135" t="s">
        <v>329</v>
      </c>
      <c r="G135" t="s">
        <v>369</v>
      </c>
      <c r="H135" t="s">
        <v>720</v>
      </c>
      <c r="I135" t="s">
        <v>369</v>
      </c>
      <c r="J135" t="s">
        <v>534</v>
      </c>
      <c r="K135" t="s">
        <v>39</v>
      </c>
      <c r="L135" t="s">
        <v>642</v>
      </c>
      <c r="M135">
        <v>9</v>
      </c>
      <c r="N135" t="s">
        <v>329</v>
      </c>
      <c r="O135" t="s">
        <v>39</v>
      </c>
      <c r="P135" t="s">
        <v>32</v>
      </c>
      <c r="Q135" t="s">
        <v>643</v>
      </c>
      <c r="R135">
        <v>5</v>
      </c>
    </row>
    <row r="136" spans="1:18" x14ac:dyDescent="0.25">
      <c r="A136" t="s">
        <v>644</v>
      </c>
      <c r="B136" t="s">
        <v>29</v>
      </c>
      <c r="C136" t="s">
        <v>46</v>
      </c>
      <c r="D136" cm="1">
        <f t="array" ref="D136">_xlfn.IFS(SINGLE_RESPONSES[[#This Row],[Age]]="18 - 29",1, SINGLE_RESPONSES[[#This Row],[Age]]="30 - 41",2,SINGLE_RESPONSES[[#This Row],[Age]]="42 -53",3, SINGLE_RESPONSES[[#This Row],[Age]]="54 - 65",4, SINGLE_RESPONSES[[#This Row],[Age]]="66 and above",5)</f>
        <v>1</v>
      </c>
      <c r="E136" t="s">
        <v>31</v>
      </c>
      <c r="F136" t="s">
        <v>329</v>
      </c>
      <c r="G136" t="s">
        <v>369</v>
      </c>
      <c r="H136" t="s">
        <v>730</v>
      </c>
      <c r="I136" t="s">
        <v>329</v>
      </c>
      <c r="J136" t="s">
        <v>646</v>
      </c>
      <c r="K136" t="s">
        <v>39</v>
      </c>
      <c r="L136" t="s">
        <v>647</v>
      </c>
      <c r="M136">
        <v>7</v>
      </c>
      <c r="N136" t="s">
        <v>746</v>
      </c>
      <c r="O136" t="s">
        <v>89</v>
      </c>
      <c r="P136" t="s">
        <v>329</v>
      </c>
      <c r="Q136" t="s">
        <v>649</v>
      </c>
      <c r="R136">
        <v>6</v>
      </c>
    </row>
    <row r="137" spans="1:18" x14ac:dyDescent="0.25">
      <c r="A137" t="s">
        <v>650</v>
      </c>
      <c r="B137" t="s">
        <v>29</v>
      </c>
      <c r="C137" t="s">
        <v>46</v>
      </c>
      <c r="D137" cm="1">
        <f t="array" ref="D137">_xlfn.IFS(SINGLE_RESPONSES[[#This Row],[Age]]="18 - 29",1, SINGLE_RESPONSES[[#This Row],[Age]]="30 - 41",2,SINGLE_RESPONSES[[#This Row],[Age]]="42 -53",3, SINGLE_RESPONSES[[#This Row],[Age]]="54 - 65",4, SINGLE_RESPONSES[[#This Row],[Age]]="66 and above",5)</f>
        <v>1</v>
      </c>
      <c r="E137" t="s">
        <v>31</v>
      </c>
      <c r="F137" t="s">
        <v>717</v>
      </c>
      <c r="G137" t="s">
        <v>717</v>
      </c>
      <c r="H137" t="s">
        <v>716</v>
      </c>
      <c r="I137" t="s">
        <v>32</v>
      </c>
      <c r="J137" t="s">
        <v>651</v>
      </c>
      <c r="K137" t="s">
        <v>39</v>
      </c>
      <c r="L137" t="s">
        <v>652</v>
      </c>
      <c r="M137">
        <v>5</v>
      </c>
      <c r="N137" t="s">
        <v>369</v>
      </c>
      <c r="O137" t="s">
        <v>43</v>
      </c>
      <c r="P137" t="s">
        <v>747</v>
      </c>
      <c r="Q137" t="s">
        <v>213</v>
      </c>
      <c r="R137">
        <v>5</v>
      </c>
    </row>
    <row r="138" spans="1:18" x14ac:dyDescent="0.25">
      <c r="A138" t="s">
        <v>653</v>
      </c>
      <c r="B138" t="s">
        <v>29</v>
      </c>
      <c r="C138" t="s">
        <v>46</v>
      </c>
      <c r="D138" cm="1">
        <f t="array" ref="D138">_xlfn.IFS(SINGLE_RESPONSES[[#This Row],[Age]]="18 - 29",1, SINGLE_RESPONSES[[#This Row],[Age]]="30 - 41",2,SINGLE_RESPONSES[[#This Row],[Age]]="42 -53",3, SINGLE_RESPONSES[[#This Row],[Age]]="54 - 65",4, SINGLE_RESPONSES[[#This Row],[Age]]="66 and above",5)</f>
        <v>1</v>
      </c>
      <c r="E138" t="s">
        <v>31</v>
      </c>
      <c r="F138" t="s">
        <v>329</v>
      </c>
      <c r="G138" t="s">
        <v>329</v>
      </c>
      <c r="H138" t="s">
        <v>720</v>
      </c>
      <c r="I138" t="s">
        <v>717</v>
      </c>
      <c r="J138" t="s">
        <v>654</v>
      </c>
      <c r="K138" t="s">
        <v>39</v>
      </c>
      <c r="L138" t="s">
        <v>655</v>
      </c>
      <c r="M138">
        <v>5</v>
      </c>
      <c r="N138" t="s">
        <v>32</v>
      </c>
      <c r="O138" t="s">
        <v>39</v>
      </c>
      <c r="P138" t="s">
        <v>32</v>
      </c>
      <c r="Q138" t="s">
        <v>656</v>
      </c>
      <c r="R138">
        <v>7</v>
      </c>
    </row>
    <row r="139" spans="1:18" x14ac:dyDescent="0.25">
      <c r="A139" t="s">
        <v>657</v>
      </c>
      <c r="B139" t="s">
        <v>29</v>
      </c>
      <c r="C139" t="s">
        <v>46</v>
      </c>
      <c r="D139" cm="1">
        <f t="array" ref="D139">_xlfn.IFS(SINGLE_RESPONSES[[#This Row],[Age]]="18 - 29",1, SINGLE_RESPONSES[[#This Row],[Age]]="30 - 41",2,SINGLE_RESPONSES[[#This Row],[Age]]="42 -53",3, SINGLE_RESPONSES[[#This Row],[Age]]="54 - 65",4, SINGLE_RESPONSES[[#This Row],[Age]]="66 and above",5)</f>
        <v>1</v>
      </c>
      <c r="E139" t="s">
        <v>31</v>
      </c>
      <c r="F139" t="s">
        <v>32</v>
      </c>
      <c r="G139" t="s">
        <v>32</v>
      </c>
      <c r="H139" t="s">
        <v>720</v>
      </c>
      <c r="I139" t="s">
        <v>329</v>
      </c>
      <c r="J139" t="s">
        <v>658</v>
      </c>
      <c r="K139" t="s">
        <v>39</v>
      </c>
      <c r="L139" t="s">
        <v>659</v>
      </c>
      <c r="M139">
        <v>9</v>
      </c>
      <c r="N139" t="s">
        <v>369</v>
      </c>
      <c r="O139" t="s">
        <v>89</v>
      </c>
      <c r="P139" t="s">
        <v>32</v>
      </c>
      <c r="Q139" t="s">
        <v>660</v>
      </c>
      <c r="R139">
        <v>7</v>
      </c>
    </row>
    <row r="140" spans="1:18" x14ac:dyDescent="0.25">
      <c r="A140" t="s">
        <v>661</v>
      </c>
      <c r="B140" t="s">
        <v>29</v>
      </c>
      <c r="C140" t="s">
        <v>46</v>
      </c>
      <c r="D140" cm="1">
        <f t="array" ref="D140">_xlfn.IFS(SINGLE_RESPONSES[[#This Row],[Age]]="18 - 29",1, SINGLE_RESPONSES[[#This Row],[Age]]="30 - 41",2,SINGLE_RESPONSES[[#This Row],[Age]]="42 -53",3, SINGLE_RESPONSES[[#This Row],[Age]]="54 - 65",4, SINGLE_RESPONSES[[#This Row],[Age]]="66 and above",5)</f>
        <v>1</v>
      </c>
      <c r="E140" t="s">
        <v>31</v>
      </c>
      <c r="F140" t="s">
        <v>32</v>
      </c>
      <c r="G140" t="s">
        <v>32</v>
      </c>
      <c r="H140" t="s">
        <v>720</v>
      </c>
      <c r="I140" t="s">
        <v>329</v>
      </c>
      <c r="J140" t="s">
        <v>662</v>
      </c>
      <c r="K140" t="s">
        <v>39</v>
      </c>
      <c r="L140" t="s">
        <v>663</v>
      </c>
      <c r="M140">
        <v>1</v>
      </c>
      <c r="N140" t="s">
        <v>717</v>
      </c>
      <c r="O140" t="s">
        <v>43</v>
      </c>
      <c r="P140" t="s">
        <v>32</v>
      </c>
      <c r="Q140" t="s">
        <v>664</v>
      </c>
      <c r="R140">
        <v>10</v>
      </c>
    </row>
    <row r="141" spans="1:18" x14ac:dyDescent="0.25">
      <c r="A141" t="s">
        <v>665</v>
      </c>
      <c r="B141" t="s">
        <v>84</v>
      </c>
      <c r="C141" t="s">
        <v>46</v>
      </c>
      <c r="D141" cm="1">
        <f t="array" ref="D141">_xlfn.IFS(SINGLE_RESPONSES[[#This Row],[Age]]="18 - 29",1, SINGLE_RESPONSES[[#This Row],[Age]]="30 - 41",2,SINGLE_RESPONSES[[#This Row],[Age]]="42 -53",3, SINGLE_RESPONSES[[#This Row],[Age]]="54 - 65",4, SINGLE_RESPONSES[[#This Row],[Age]]="66 and above",5)</f>
        <v>1</v>
      </c>
      <c r="E141" t="s">
        <v>31</v>
      </c>
      <c r="F141" t="s">
        <v>329</v>
      </c>
      <c r="G141" t="s">
        <v>329</v>
      </c>
      <c r="H141" t="s">
        <v>730</v>
      </c>
      <c r="I141" t="s">
        <v>32</v>
      </c>
      <c r="J141" t="s">
        <v>666</v>
      </c>
      <c r="K141" t="s">
        <v>39</v>
      </c>
      <c r="L141" t="s">
        <v>74</v>
      </c>
      <c r="M141">
        <v>6</v>
      </c>
      <c r="N141" t="s">
        <v>32</v>
      </c>
      <c r="O141" t="s">
        <v>43</v>
      </c>
      <c r="P141" t="s">
        <v>747</v>
      </c>
      <c r="Q141" t="s">
        <v>667</v>
      </c>
      <c r="R141">
        <v>5</v>
      </c>
    </row>
    <row r="142" spans="1:18" x14ac:dyDescent="0.25">
      <c r="A142" t="s">
        <v>668</v>
      </c>
      <c r="B142" t="s">
        <v>29</v>
      </c>
      <c r="C142" t="s">
        <v>628</v>
      </c>
      <c r="D142" cm="1">
        <f t="array" ref="D142">_xlfn.IFS(SINGLE_RESPONSES[[#This Row],[Age]]="18 - 29",1, SINGLE_RESPONSES[[#This Row],[Age]]="30 - 41",2,SINGLE_RESPONSES[[#This Row],[Age]]="42 -53",3, SINGLE_RESPONSES[[#This Row],[Age]]="54 - 65",4, SINGLE_RESPONSES[[#This Row],[Age]]="66 and above",5)</f>
        <v>4</v>
      </c>
      <c r="E142" t="s">
        <v>31</v>
      </c>
      <c r="F142" t="s">
        <v>329</v>
      </c>
      <c r="G142" t="s">
        <v>329</v>
      </c>
      <c r="H142" t="s">
        <v>720</v>
      </c>
      <c r="I142" t="s">
        <v>32</v>
      </c>
      <c r="J142" t="s">
        <v>671</v>
      </c>
      <c r="K142" t="s">
        <v>39</v>
      </c>
      <c r="L142" t="s">
        <v>672</v>
      </c>
      <c r="M142">
        <v>1</v>
      </c>
      <c r="N142" t="s">
        <v>717</v>
      </c>
      <c r="O142" t="s">
        <v>43</v>
      </c>
      <c r="P142" t="s">
        <v>747</v>
      </c>
      <c r="Q142" t="s">
        <v>673</v>
      </c>
      <c r="R142">
        <v>10</v>
      </c>
    </row>
    <row r="143" spans="1:18" x14ac:dyDescent="0.25">
      <c r="A143" t="s">
        <v>674</v>
      </c>
      <c r="B143" t="s">
        <v>29</v>
      </c>
      <c r="C143" t="s">
        <v>46</v>
      </c>
      <c r="D143" cm="1">
        <f t="array" ref="D143">_xlfn.IFS(SINGLE_RESPONSES[[#This Row],[Age]]="18 - 29",1, SINGLE_RESPONSES[[#This Row],[Age]]="30 - 41",2,SINGLE_RESPONSES[[#This Row],[Age]]="42 -53",3, SINGLE_RESPONSES[[#This Row],[Age]]="54 - 65",4, SINGLE_RESPONSES[[#This Row],[Age]]="66 and above",5)</f>
        <v>1</v>
      </c>
      <c r="E143" t="s">
        <v>31</v>
      </c>
      <c r="F143" t="s">
        <v>717</v>
      </c>
      <c r="G143" t="s">
        <v>369</v>
      </c>
      <c r="H143" t="s">
        <v>720</v>
      </c>
      <c r="I143" t="s">
        <v>329</v>
      </c>
      <c r="J143" t="s">
        <v>675</v>
      </c>
      <c r="K143" t="s">
        <v>39</v>
      </c>
      <c r="L143" t="s">
        <v>676</v>
      </c>
      <c r="M143">
        <v>8</v>
      </c>
      <c r="N143" t="s">
        <v>32</v>
      </c>
      <c r="O143" t="s">
        <v>39</v>
      </c>
      <c r="P143" t="s">
        <v>32</v>
      </c>
      <c r="Q143" t="s">
        <v>677</v>
      </c>
      <c r="R143">
        <v>8</v>
      </c>
    </row>
    <row r="144" spans="1:18" x14ac:dyDescent="0.25">
      <c r="A144" t="s">
        <v>678</v>
      </c>
      <c r="B144" t="s">
        <v>29</v>
      </c>
      <c r="C144" t="s">
        <v>46</v>
      </c>
      <c r="D144" cm="1">
        <f t="array" ref="D144">_xlfn.IFS(SINGLE_RESPONSES[[#This Row],[Age]]="18 - 29",1, SINGLE_RESPONSES[[#This Row],[Age]]="30 - 41",2,SINGLE_RESPONSES[[#This Row],[Age]]="42 -53",3, SINGLE_RESPONSES[[#This Row],[Age]]="54 - 65",4, SINGLE_RESPONSES[[#This Row],[Age]]="66 and above",5)</f>
        <v>1</v>
      </c>
      <c r="E144" t="s">
        <v>31</v>
      </c>
      <c r="F144" t="s">
        <v>329</v>
      </c>
      <c r="G144" t="s">
        <v>329</v>
      </c>
      <c r="H144" t="s">
        <v>729</v>
      </c>
      <c r="I144" t="s">
        <v>32</v>
      </c>
      <c r="J144" t="s">
        <v>680</v>
      </c>
      <c r="K144" t="s">
        <v>39</v>
      </c>
      <c r="L144" t="s">
        <v>681</v>
      </c>
      <c r="M144">
        <v>6</v>
      </c>
      <c r="N144" t="s">
        <v>746</v>
      </c>
      <c r="O144" t="s">
        <v>43</v>
      </c>
      <c r="P144" t="s">
        <v>747</v>
      </c>
      <c r="Q144" t="s">
        <v>683</v>
      </c>
      <c r="R144">
        <v>5</v>
      </c>
    </row>
    <row r="145" spans="1:18" x14ac:dyDescent="0.25">
      <c r="A145" t="s">
        <v>684</v>
      </c>
      <c r="B145" t="s">
        <v>29</v>
      </c>
      <c r="C145" t="s">
        <v>46</v>
      </c>
      <c r="D145" cm="1">
        <f t="array" ref="D145">_xlfn.IFS(SINGLE_RESPONSES[[#This Row],[Age]]="18 - 29",1, SINGLE_RESPONSES[[#This Row],[Age]]="30 - 41",2,SINGLE_RESPONSES[[#This Row],[Age]]="42 -53",3, SINGLE_RESPONSES[[#This Row],[Age]]="54 - 65",4, SINGLE_RESPONSES[[#This Row],[Age]]="66 and above",5)</f>
        <v>1</v>
      </c>
      <c r="E145" t="s">
        <v>31</v>
      </c>
      <c r="F145" t="s">
        <v>369</v>
      </c>
      <c r="G145" t="s">
        <v>369</v>
      </c>
      <c r="H145" t="s">
        <v>720</v>
      </c>
      <c r="I145" t="s">
        <v>329</v>
      </c>
      <c r="J145" t="s">
        <v>685</v>
      </c>
      <c r="K145" t="s">
        <v>39</v>
      </c>
      <c r="L145" t="s">
        <v>686</v>
      </c>
      <c r="M145">
        <v>10</v>
      </c>
      <c r="N145" t="s">
        <v>717</v>
      </c>
      <c r="O145" t="s">
        <v>43</v>
      </c>
      <c r="P145" t="s">
        <v>32</v>
      </c>
      <c r="Q145" t="s">
        <v>687</v>
      </c>
      <c r="R145">
        <v>5</v>
      </c>
    </row>
    <row r="146" spans="1:18" x14ac:dyDescent="0.25">
      <c r="A146" t="s">
        <v>688</v>
      </c>
      <c r="B146" t="s">
        <v>29</v>
      </c>
      <c r="C146" t="s">
        <v>46</v>
      </c>
      <c r="D146" cm="1">
        <f t="array" ref="D146">_xlfn.IFS(SINGLE_RESPONSES[[#This Row],[Age]]="18 - 29",1, SINGLE_RESPONSES[[#This Row],[Age]]="30 - 41",2,SINGLE_RESPONSES[[#This Row],[Age]]="42 -53",3, SINGLE_RESPONSES[[#This Row],[Age]]="54 - 65",4, SINGLE_RESPONSES[[#This Row],[Age]]="66 and above",5)</f>
        <v>1</v>
      </c>
      <c r="E146" t="s">
        <v>31</v>
      </c>
      <c r="F146" t="s">
        <v>32</v>
      </c>
      <c r="G146" t="s">
        <v>32</v>
      </c>
      <c r="H146" t="s">
        <v>720</v>
      </c>
      <c r="I146" t="s">
        <v>32</v>
      </c>
      <c r="J146" t="s">
        <v>213</v>
      </c>
      <c r="K146" t="s">
        <v>39</v>
      </c>
      <c r="L146" t="s">
        <v>74</v>
      </c>
      <c r="M146">
        <v>10</v>
      </c>
      <c r="N146" t="s">
        <v>32</v>
      </c>
      <c r="O146" t="s">
        <v>39</v>
      </c>
      <c r="P146" t="s">
        <v>32</v>
      </c>
      <c r="Q146" t="s">
        <v>689</v>
      </c>
      <c r="R146">
        <v>10</v>
      </c>
    </row>
    <row r="147" spans="1:18" x14ac:dyDescent="0.25">
      <c r="A147" t="s">
        <v>690</v>
      </c>
      <c r="B147" t="s">
        <v>84</v>
      </c>
      <c r="C147" t="s">
        <v>46</v>
      </c>
      <c r="D147" cm="1">
        <f t="array" ref="D147">_xlfn.IFS(SINGLE_RESPONSES[[#This Row],[Age]]="18 - 29",1, SINGLE_RESPONSES[[#This Row],[Age]]="30 - 41",2,SINGLE_RESPONSES[[#This Row],[Age]]="42 -53",3, SINGLE_RESPONSES[[#This Row],[Age]]="54 - 65",4, SINGLE_RESPONSES[[#This Row],[Age]]="66 and above",5)</f>
        <v>1</v>
      </c>
      <c r="E147" t="s">
        <v>31</v>
      </c>
      <c r="F147" t="s">
        <v>329</v>
      </c>
      <c r="G147" t="s">
        <v>329</v>
      </c>
      <c r="H147" t="s">
        <v>720</v>
      </c>
      <c r="I147" t="s">
        <v>329</v>
      </c>
      <c r="J147" t="s">
        <v>691</v>
      </c>
      <c r="K147" t="s">
        <v>39</v>
      </c>
      <c r="L147" t="s">
        <v>692</v>
      </c>
      <c r="M147">
        <v>10</v>
      </c>
      <c r="N147" t="s">
        <v>32</v>
      </c>
      <c r="O147" t="s">
        <v>89</v>
      </c>
      <c r="P147" t="s">
        <v>32</v>
      </c>
      <c r="Q147" t="s">
        <v>693</v>
      </c>
      <c r="R147">
        <v>5</v>
      </c>
    </row>
    <row r="148" spans="1:18" x14ac:dyDescent="0.25">
      <c r="A148" t="s">
        <v>694</v>
      </c>
      <c r="B148" t="s">
        <v>29</v>
      </c>
      <c r="C148" t="s">
        <v>46</v>
      </c>
      <c r="D148" cm="1">
        <f t="array" ref="D148">_xlfn.IFS(SINGLE_RESPONSES[[#This Row],[Age]]="18 - 29",1, SINGLE_RESPONSES[[#This Row],[Age]]="30 - 41",2,SINGLE_RESPONSES[[#This Row],[Age]]="42 -53",3, SINGLE_RESPONSES[[#This Row],[Age]]="54 - 65",4, SINGLE_RESPONSES[[#This Row],[Age]]="66 and above",5)</f>
        <v>1</v>
      </c>
      <c r="E148" t="s">
        <v>31</v>
      </c>
      <c r="F148" t="s">
        <v>329</v>
      </c>
      <c r="G148" t="s">
        <v>329</v>
      </c>
      <c r="H148" t="s">
        <v>731</v>
      </c>
      <c r="I148" t="s">
        <v>329</v>
      </c>
      <c r="J148" t="s">
        <v>695</v>
      </c>
      <c r="K148" t="s">
        <v>39</v>
      </c>
      <c r="L148" t="s">
        <v>696</v>
      </c>
      <c r="M148">
        <v>10</v>
      </c>
      <c r="N148" t="s">
        <v>746</v>
      </c>
      <c r="O148" t="s">
        <v>43</v>
      </c>
      <c r="P148" t="s">
        <v>747</v>
      </c>
      <c r="Q148" t="s">
        <v>698</v>
      </c>
      <c r="R148">
        <v>5</v>
      </c>
    </row>
    <row r="149" spans="1:18" x14ac:dyDescent="0.25">
      <c r="A149" t="s">
        <v>699</v>
      </c>
      <c r="B149" t="s">
        <v>29</v>
      </c>
      <c r="C149" t="s">
        <v>46</v>
      </c>
      <c r="D149" cm="1">
        <f t="array" ref="D149">_xlfn.IFS(SINGLE_RESPONSES[[#This Row],[Age]]="18 - 29",1, SINGLE_RESPONSES[[#This Row],[Age]]="30 - 41",2,SINGLE_RESPONSES[[#This Row],[Age]]="42 -53",3, SINGLE_RESPONSES[[#This Row],[Age]]="54 - 65",4, SINGLE_RESPONSES[[#This Row],[Age]]="66 and above",5)</f>
        <v>1</v>
      </c>
      <c r="E149" t="s">
        <v>31</v>
      </c>
      <c r="F149" t="s">
        <v>329</v>
      </c>
      <c r="G149" t="s">
        <v>369</v>
      </c>
      <c r="H149" t="s">
        <v>718</v>
      </c>
      <c r="I149" t="s">
        <v>717</v>
      </c>
      <c r="J149" t="s">
        <v>701</v>
      </c>
      <c r="K149" t="s">
        <v>39</v>
      </c>
      <c r="L149" t="s">
        <v>702</v>
      </c>
      <c r="M149">
        <v>10</v>
      </c>
      <c r="N149" t="s">
        <v>329</v>
      </c>
      <c r="O149" t="s">
        <v>43</v>
      </c>
      <c r="P149" t="s">
        <v>747</v>
      </c>
      <c r="Q149" t="s">
        <v>703</v>
      </c>
      <c r="R149">
        <v>5</v>
      </c>
    </row>
    <row r="150" spans="1:18" x14ac:dyDescent="0.25">
      <c r="A150" t="s">
        <v>704</v>
      </c>
      <c r="B150" t="s">
        <v>29</v>
      </c>
      <c r="C150" t="s">
        <v>46</v>
      </c>
      <c r="D150" cm="1">
        <f t="array" ref="D150">_xlfn.IFS(SINGLE_RESPONSES[[#This Row],[Age]]="18 - 29",1, SINGLE_RESPONSES[[#This Row],[Age]]="30 - 41",2,SINGLE_RESPONSES[[#This Row],[Age]]="42 -53",3, SINGLE_RESPONSES[[#This Row],[Age]]="54 - 65",4, SINGLE_RESPONSES[[#This Row],[Age]]="66 and above",5)</f>
        <v>1</v>
      </c>
      <c r="E150" t="s">
        <v>31</v>
      </c>
      <c r="F150" t="s">
        <v>32</v>
      </c>
      <c r="G150" t="s">
        <v>32</v>
      </c>
      <c r="H150" t="s">
        <v>720</v>
      </c>
      <c r="I150" t="s">
        <v>329</v>
      </c>
      <c r="J150" t="s">
        <v>705</v>
      </c>
      <c r="K150" t="s">
        <v>39</v>
      </c>
      <c r="L150" t="s">
        <v>706</v>
      </c>
      <c r="M150">
        <v>10</v>
      </c>
      <c r="N150" t="s">
        <v>717</v>
      </c>
      <c r="O150" t="s">
        <v>43</v>
      </c>
      <c r="P150" t="s">
        <v>747</v>
      </c>
      <c r="Q150" t="s">
        <v>707</v>
      </c>
      <c r="R150">
        <v>10</v>
      </c>
    </row>
    <row r="151" spans="1:18" x14ac:dyDescent="0.25">
      <c r="A151" t="s">
        <v>708</v>
      </c>
      <c r="B151" t="s">
        <v>29</v>
      </c>
      <c r="C151" t="s">
        <v>46</v>
      </c>
      <c r="D151" cm="1">
        <f t="array" ref="D151">_xlfn.IFS(SINGLE_RESPONSES[[#This Row],[Age]]="18 - 29",1, SINGLE_RESPONSES[[#This Row],[Age]]="30 - 41",2,SINGLE_RESPONSES[[#This Row],[Age]]="42 -53",3, SINGLE_RESPONSES[[#This Row],[Age]]="54 - 65",4, SINGLE_RESPONSES[[#This Row],[Age]]="66 and above",5)</f>
        <v>1</v>
      </c>
      <c r="E151" t="s">
        <v>435</v>
      </c>
      <c r="F151" t="s">
        <v>329</v>
      </c>
      <c r="G151" t="s">
        <v>329</v>
      </c>
      <c r="H151" t="s">
        <v>720</v>
      </c>
      <c r="I151" t="s">
        <v>329</v>
      </c>
      <c r="J151" t="s">
        <v>213</v>
      </c>
      <c r="K151" t="s">
        <v>39</v>
      </c>
      <c r="L151" t="s">
        <v>709</v>
      </c>
      <c r="M151">
        <v>7</v>
      </c>
      <c r="N151" t="s">
        <v>32</v>
      </c>
      <c r="O151" t="s">
        <v>89</v>
      </c>
      <c r="P151" t="s">
        <v>329</v>
      </c>
      <c r="Q151" t="s">
        <v>710</v>
      </c>
      <c r="R151">
        <v>5</v>
      </c>
    </row>
    <row r="153" spans="1:18" hidden="1" x14ac:dyDescent="0.25"/>
    <row r="154" spans="1:18" hidden="1" x14ac:dyDescent="0.25">
      <c r="B154" s="58" t="s">
        <v>768</v>
      </c>
      <c r="C154" s="56"/>
      <c r="D154" s="56"/>
      <c r="E154" s="56"/>
      <c r="G154" s="56" t="s">
        <v>758</v>
      </c>
      <c r="H154" s="56"/>
      <c r="I154" s="56"/>
    </row>
    <row r="155" spans="1:18" hidden="1" x14ac:dyDescent="0.25">
      <c r="C155" s="5" t="s">
        <v>765</v>
      </c>
      <c r="D155" s="5"/>
      <c r="E155" s="5" t="s">
        <v>766</v>
      </c>
      <c r="I155" t="s">
        <v>765</v>
      </c>
      <c r="J155" t="s">
        <v>766</v>
      </c>
    </row>
    <row r="156" spans="1:18" hidden="1" x14ac:dyDescent="0.25">
      <c r="B156" t="str" cm="1">
        <f t="array" ref="B156:B158">_xlfn.UNIQUE(SINGLE_RESPONSES[Gender])</f>
        <v>Male</v>
      </c>
      <c r="C156">
        <f>COUNTIF(SINGLE_RESPONSES[Gender],B156)</f>
        <v>106</v>
      </c>
      <c r="E156" s="10">
        <f>C156/150</f>
        <v>0.70666666666666667</v>
      </c>
      <c r="H156" t="s">
        <v>32</v>
      </c>
      <c r="I156">
        <f>COUNTIF(SINGLE_RESPONSES[TOM],H156)</f>
        <v>46</v>
      </c>
      <c r="J156" s="10">
        <f>I156/150</f>
        <v>0.30666666666666664</v>
      </c>
    </row>
    <row r="157" spans="1:18" hidden="1" x14ac:dyDescent="0.25">
      <c r="B157" t="str">
        <v>Female</v>
      </c>
      <c r="C157">
        <f>COUNTIF(SINGLE_RESPONSES[Gender],B157)</f>
        <v>43</v>
      </c>
      <c r="E157" s="10">
        <f t="shared" ref="E157:E158" si="0">C157/150</f>
        <v>0.28666666666666668</v>
      </c>
      <c r="H157" t="s">
        <v>717</v>
      </c>
      <c r="I157">
        <f>COUNTIF(SINGLE_RESPONSES[TOM],H157)</f>
        <v>8</v>
      </c>
      <c r="J157" s="10">
        <f t="shared" ref="J157:J159" si="1">I157/150</f>
        <v>5.3333333333333337E-2</v>
      </c>
    </row>
    <row r="158" spans="1:18" hidden="1" x14ac:dyDescent="0.25">
      <c r="B158" t="str">
        <v>Prefer not to say</v>
      </c>
      <c r="C158">
        <f>COUNTIF(SINGLE_RESPONSES[Gender],B158)</f>
        <v>1</v>
      </c>
      <c r="E158" s="10">
        <f t="shared" si="0"/>
        <v>6.6666666666666671E-3</v>
      </c>
      <c r="H158" t="s">
        <v>329</v>
      </c>
      <c r="I158">
        <f>COUNTIF(SINGLE_RESPONSES[TOM],H158)</f>
        <v>83</v>
      </c>
      <c r="J158" s="10">
        <f t="shared" si="1"/>
        <v>0.55333333333333334</v>
      </c>
    </row>
    <row r="159" spans="1:18" hidden="1" x14ac:dyDescent="0.25">
      <c r="H159" t="s">
        <v>369</v>
      </c>
      <c r="I159">
        <f>COUNTIF(SINGLE_RESPONSES[TOM],H159)</f>
        <v>10</v>
      </c>
      <c r="J159" s="10">
        <f t="shared" si="1"/>
        <v>6.6666666666666666E-2</v>
      </c>
    </row>
    <row r="160" spans="1:18" hidden="1" x14ac:dyDescent="0.25"/>
    <row r="161" spans="2:5" hidden="1" x14ac:dyDescent="0.25"/>
    <row r="162" spans="2:5" hidden="1" x14ac:dyDescent="0.25"/>
    <row r="163" spans="2:5" hidden="1" x14ac:dyDescent="0.25"/>
    <row r="164" spans="2:5" hidden="1" x14ac:dyDescent="0.25"/>
    <row r="165" spans="2:5" hidden="1" x14ac:dyDescent="0.25"/>
    <row r="166" spans="2:5" hidden="1" x14ac:dyDescent="0.25"/>
    <row r="167" spans="2:5" hidden="1" x14ac:dyDescent="0.25"/>
    <row r="168" spans="2:5" hidden="1" x14ac:dyDescent="0.25"/>
    <row r="169" spans="2:5" hidden="1" x14ac:dyDescent="0.25"/>
    <row r="170" spans="2:5" hidden="1" x14ac:dyDescent="0.25"/>
    <row r="171" spans="2:5" hidden="1" x14ac:dyDescent="0.25"/>
    <row r="172" spans="2:5" hidden="1" x14ac:dyDescent="0.25"/>
    <row r="173" spans="2:5" hidden="1" x14ac:dyDescent="0.25"/>
    <row r="174" spans="2:5" hidden="1" x14ac:dyDescent="0.25"/>
    <row r="175" spans="2:5" hidden="1" x14ac:dyDescent="0.25"/>
    <row r="176" spans="2:5" hidden="1" x14ac:dyDescent="0.25">
      <c r="B176" s="58" t="s">
        <v>769</v>
      </c>
      <c r="C176" s="56"/>
      <c r="D176" s="56"/>
      <c r="E176" s="56"/>
    </row>
    <row r="177" spans="1:10" hidden="1" x14ac:dyDescent="0.25">
      <c r="C177" s="5" t="s">
        <v>765</v>
      </c>
    </row>
    <row r="178" spans="1:10" hidden="1" x14ac:dyDescent="0.25">
      <c r="A178" s="5" t="s">
        <v>770</v>
      </c>
      <c r="B178" cm="1">
        <f t="array" ref="B178:B182">_xlfn._xlws.SORT(_xlfn.UNIQUE(SINGLE_RESPONSES[coding]))</f>
        <v>1</v>
      </c>
      <c r="C178">
        <f>COUNTIF(SINGLE_RESPONSES[coding],B178)</f>
        <v>127</v>
      </c>
      <c r="D178" s="10">
        <f>C178/150</f>
        <v>0.84666666666666668</v>
      </c>
    </row>
    <row r="179" spans="1:10" hidden="1" x14ac:dyDescent="0.25">
      <c r="A179" t="s">
        <v>771</v>
      </c>
      <c r="B179">
        <v>2</v>
      </c>
      <c r="C179">
        <f>COUNTIF(SINGLE_RESPONSES[coding],B179)</f>
        <v>15</v>
      </c>
      <c r="D179" s="10">
        <f t="shared" ref="D179:D182" si="2">C179/150</f>
        <v>0.1</v>
      </c>
    </row>
    <row r="180" spans="1:10" hidden="1" x14ac:dyDescent="0.25">
      <c r="A180" s="5" t="s">
        <v>772</v>
      </c>
      <c r="B180">
        <v>3</v>
      </c>
      <c r="C180">
        <f>COUNTIF(SINGLE_RESPONSES[coding],B180)</f>
        <v>5</v>
      </c>
      <c r="D180" s="10">
        <f t="shared" si="2"/>
        <v>3.3333333333333333E-2</v>
      </c>
    </row>
    <row r="181" spans="1:10" hidden="1" x14ac:dyDescent="0.25">
      <c r="A181" s="5" t="s">
        <v>773</v>
      </c>
      <c r="B181">
        <v>4</v>
      </c>
      <c r="C181">
        <f>COUNTIF(SINGLE_RESPONSES[coding],B181)</f>
        <v>2</v>
      </c>
      <c r="D181" s="10">
        <f t="shared" si="2"/>
        <v>1.3333333333333334E-2</v>
      </c>
    </row>
    <row r="182" spans="1:10" hidden="1" x14ac:dyDescent="0.25">
      <c r="A182" s="5" t="s">
        <v>312</v>
      </c>
      <c r="B182">
        <v>5</v>
      </c>
      <c r="C182">
        <f>COUNTIF(SINGLE_RESPONSES[coding],B182)</f>
        <v>1</v>
      </c>
      <c r="D182" s="10">
        <f t="shared" si="2"/>
        <v>6.6666666666666671E-3</v>
      </c>
    </row>
    <row r="183" spans="1:10" hidden="1" x14ac:dyDescent="0.25">
      <c r="G183" s="56" t="s">
        <v>754</v>
      </c>
      <c r="H183" s="56"/>
      <c r="I183" s="56"/>
    </row>
    <row r="184" spans="1:10" hidden="1" x14ac:dyDescent="0.25">
      <c r="H184" t="s">
        <v>765</v>
      </c>
      <c r="I184" t="s">
        <v>774</v>
      </c>
    </row>
    <row r="185" spans="1:10" hidden="1" x14ac:dyDescent="0.25">
      <c r="G185" t="s">
        <v>32</v>
      </c>
      <c r="H185">
        <f>Engineered_Awareness_data!H152</f>
        <v>100</v>
      </c>
      <c r="I185" s="10">
        <f>H185/150</f>
        <v>0.66666666666666663</v>
      </c>
    </row>
    <row r="186" spans="1:10" hidden="1" x14ac:dyDescent="0.25">
      <c r="G186" t="s">
        <v>717</v>
      </c>
      <c r="H186">
        <f>Engineered_Awareness_data!I152</f>
        <v>61</v>
      </c>
      <c r="I186" s="10">
        <f t="shared" ref="I186:I188" si="3">H186/150</f>
        <v>0.40666666666666668</v>
      </c>
    </row>
    <row r="187" spans="1:10" hidden="1" x14ac:dyDescent="0.25">
      <c r="G187" t="s">
        <v>329</v>
      </c>
      <c r="H187">
        <f>Engineered_Awareness_data!G152</f>
        <v>114</v>
      </c>
      <c r="I187" s="10">
        <f t="shared" si="3"/>
        <v>0.76</v>
      </c>
    </row>
    <row r="188" spans="1:10" hidden="1" x14ac:dyDescent="0.25">
      <c r="G188" t="s">
        <v>369</v>
      </c>
      <c r="H188">
        <f>Engineered_Awareness_data!J152</f>
        <v>55</v>
      </c>
      <c r="I188" s="10">
        <f t="shared" si="3"/>
        <v>0.36666666666666664</v>
      </c>
    </row>
    <row r="189" spans="1:10" hidden="1" x14ac:dyDescent="0.25">
      <c r="J189" t="s">
        <v>169</v>
      </c>
    </row>
    <row r="190" spans="1:10" hidden="1" x14ac:dyDescent="0.25"/>
    <row r="191" spans="1:10" hidden="1" x14ac:dyDescent="0.25"/>
    <row r="192" spans="1:10" hidden="1" x14ac:dyDescent="0.25"/>
    <row r="193" spans="7:9" hidden="1" x14ac:dyDescent="0.25"/>
    <row r="194" spans="7:9" hidden="1" x14ac:dyDescent="0.25"/>
    <row r="195" spans="7:9" hidden="1" x14ac:dyDescent="0.25"/>
    <row r="196" spans="7:9" hidden="1" x14ac:dyDescent="0.25"/>
    <row r="197" spans="7:9" hidden="1" x14ac:dyDescent="0.25"/>
    <row r="198" spans="7:9" hidden="1" x14ac:dyDescent="0.25"/>
    <row r="199" spans="7:9" hidden="1" x14ac:dyDescent="0.25"/>
    <row r="200" spans="7:9" hidden="1" x14ac:dyDescent="0.25"/>
    <row r="201" spans="7:9" hidden="1" x14ac:dyDescent="0.25"/>
    <row r="202" spans="7:9" hidden="1" x14ac:dyDescent="0.25"/>
    <row r="203" spans="7:9" hidden="1" x14ac:dyDescent="0.25"/>
    <row r="204" spans="7:9" hidden="1" x14ac:dyDescent="0.25"/>
    <row r="205" spans="7:9" hidden="1" x14ac:dyDescent="0.25"/>
    <row r="206" spans="7:9" hidden="1" x14ac:dyDescent="0.25">
      <c r="G206" s="56" t="s">
        <v>775</v>
      </c>
      <c r="H206" s="56"/>
      <c r="I206" s="56"/>
    </row>
    <row r="207" spans="7:9" hidden="1" x14ac:dyDescent="0.25">
      <c r="H207" t="s">
        <v>765</v>
      </c>
      <c r="I207" t="s">
        <v>760</v>
      </c>
    </row>
    <row r="208" spans="7:9" hidden="1" x14ac:dyDescent="0.25">
      <c r="G208" t="str" cm="1">
        <f t="array" ref="G208:G211">_xlfn.UNIQUE(SINGLE_RESPONSES[FAVORITE])</f>
        <v>easypaisa</v>
      </c>
      <c r="H208">
        <f>COUNTIF(SINGLE_RESPONSES[FAVORITE],G208)</f>
        <v>43</v>
      </c>
      <c r="I208" s="10">
        <f>H208/150</f>
        <v>0.28666666666666668</v>
      </c>
    </row>
    <row r="209" spans="6:9" hidden="1" x14ac:dyDescent="0.25">
      <c r="G209" t="str">
        <v>sadapay</v>
      </c>
      <c r="H209">
        <f>COUNTIF(SINGLE_RESPONSES[FAVORITE],G209)</f>
        <v>18</v>
      </c>
      <c r="I209" s="10">
        <f t="shared" ref="I209:I211" si="4">H209/150</f>
        <v>0.12</v>
      </c>
    </row>
    <row r="210" spans="6:9" hidden="1" x14ac:dyDescent="0.25">
      <c r="G210" t="str">
        <v>nayapay</v>
      </c>
      <c r="H210">
        <f>COUNTIF(SINGLE_RESPONSES[FAVORITE],G210)</f>
        <v>24</v>
      </c>
      <c r="I210" s="10">
        <f t="shared" si="4"/>
        <v>0.16</v>
      </c>
    </row>
    <row r="211" spans="6:9" hidden="1" x14ac:dyDescent="0.25">
      <c r="G211" t="str">
        <v>jazzcash</v>
      </c>
      <c r="H211">
        <f>COUNTIF(SINGLE_RESPONSES[FAVORITE],G211)</f>
        <v>65</v>
      </c>
      <c r="I211" s="10">
        <f t="shared" si="4"/>
        <v>0.43333333333333335</v>
      </c>
    </row>
    <row r="212" spans="6:9" hidden="1" x14ac:dyDescent="0.25"/>
    <row r="213" spans="6:9" hidden="1" x14ac:dyDescent="0.25"/>
    <row r="214" spans="6:9" hidden="1" x14ac:dyDescent="0.25"/>
    <row r="215" spans="6:9" hidden="1" x14ac:dyDescent="0.25"/>
    <row r="216" spans="6:9" hidden="1" x14ac:dyDescent="0.25">
      <c r="G216" s="56" t="s">
        <v>776</v>
      </c>
      <c r="H216" s="56"/>
      <c r="I216" s="56"/>
    </row>
    <row r="217" spans="6:9" hidden="1" x14ac:dyDescent="0.25">
      <c r="F217">
        <v>1</v>
      </c>
      <c r="G217" t="s">
        <v>316</v>
      </c>
      <c r="H217">
        <f>COUNTIF(SINGLE_RESPONSES[Using since],F217)</f>
        <v>10</v>
      </c>
      <c r="I217" s="10">
        <f>H217/150</f>
        <v>6.6666666666666666E-2</v>
      </c>
    </row>
    <row r="218" spans="6:9" hidden="1" x14ac:dyDescent="0.25">
      <c r="F218">
        <v>2</v>
      </c>
      <c r="G218" t="s">
        <v>197</v>
      </c>
      <c r="H218">
        <f>COUNTIF(SINGLE_RESPONSES[Using since],F218)</f>
        <v>8</v>
      </c>
      <c r="I218" s="10">
        <f t="shared" ref="I218:I223" si="5">H218/150</f>
        <v>5.3333333333333337E-2</v>
      </c>
    </row>
    <row r="219" spans="6:9" hidden="1" x14ac:dyDescent="0.25">
      <c r="F219">
        <v>3</v>
      </c>
      <c r="G219" t="s">
        <v>216</v>
      </c>
      <c r="H219">
        <f>COUNTIF(SINGLE_RESPONSES[Using since],F219)</f>
        <v>6</v>
      </c>
      <c r="I219" s="10">
        <f t="shared" si="5"/>
        <v>0.04</v>
      </c>
    </row>
    <row r="220" spans="6:9" hidden="1" x14ac:dyDescent="0.25">
      <c r="F220">
        <v>4</v>
      </c>
      <c r="G220" t="s">
        <v>47</v>
      </c>
      <c r="H220">
        <f>COUNTIF(SINGLE_RESPONSES[Using since],F220)</f>
        <v>17</v>
      </c>
      <c r="I220" s="10">
        <f t="shared" si="5"/>
        <v>0.11333333333333333</v>
      </c>
    </row>
    <row r="221" spans="6:9" hidden="1" x14ac:dyDescent="0.25">
      <c r="F221">
        <v>5</v>
      </c>
      <c r="G221" t="s">
        <v>72</v>
      </c>
      <c r="H221">
        <f>COUNTIF(SINGLE_RESPONSES[Using since],F221)</f>
        <v>15</v>
      </c>
      <c r="I221" s="10">
        <f t="shared" si="5"/>
        <v>0.1</v>
      </c>
    </row>
    <row r="222" spans="6:9" hidden="1" x14ac:dyDescent="0.25">
      <c r="F222">
        <v>6</v>
      </c>
      <c r="G222" t="s">
        <v>36</v>
      </c>
      <c r="H222">
        <f>COUNTIF(SINGLE_RESPONSES[Using since],F222)</f>
        <v>16</v>
      </c>
      <c r="I222" s="10">
        <f t="shared" si="5"/>
        <v>0.10666666666666667</v>
      </c>
    </row>
    <row r="223" spans="6:9" hidden="1" x14ac:dyDescent="0.25">
      <c r="F223">
        <v>7</v>
      </c>
      <c r="G223" t="s">
        <v>60</v>
      </c>
      <c r="H223">
        <f>COUNTIF(SINGLE_RESPONSES[Using since],F223)</f>
        <v>78</v>
      </c>
      <c r="I223" s="10">
        <f t="shared" si="5"/>
        <v>0.52</v>
      </c>
    </row>
    <row r="224" spans="6:9" hidden="1" x14ac:dyDescent="0.25"/>
    <row r="225" spans="4:10" hidden="1" x14ac:dyDescent="0.25"/>
    <row r="226" spans="4:10" hidden="1" x14ac:dyDescent="0.25">
      <c r="G226" s="56" t="s">
        <v>777</v>
      </c>
      <c r="H226" s="56"/>
      <c r="I226" s="56"/>
    </row>
    <row r="227" spans="4:10" hidden="1" x14ac:dyDescent="0.25">
      <c r="F227" t="str" cm="1">
        <f t="array" ref="F227:I227">TRANSPOSE(_xlfn.UNIQUE(SINGLE_RESPONSES[FAVORITE]))</f>
        <v>easypaisa</v>
      </c>
      <c r="G227" t="str">
        <v>sadapay</v>
      </c>
      <c r="H227" t="str">
        <v>nayapay</v>
      </c>
      <c r="I227" t="str">
        <v>jazzcash</v>
      </c>
    </row>
    <row r="228" spans="4:10" hidden="1" x14ac:dyDescent="0.25">
      <c r="D228">
        <v>1</v>
      </c>
      <c r="E228" t="s">
        <v>316</v>
      </c>
      <c r="F228">
        <f>COUNTIFS($H$2:$H$151,$D228,$G$2:$G$151,F$227)</f>
        <v>3</v>
      </c>
      <c r="G228">
        <f t="shared" ref="G228:I228" si="6">COUNTIFS($H$2:$H$151,$D228,$G$2:$G$151,G$227)</f>
        <v>3</v>
      </c>
      <c r="H228">
        <f t="shared" si="6"/>
        <v>0</v>
      </c>
      <c r="I228">
        <f t="shared" si="6"/>
        <v>4</v>
      </c>
    </row>
    <row r="229" spans="4:10" hidden="1" x14ac:dyDescent="0.25">
      <c r="D229">
        <v>2</v>
      </c>
      <c r="E229" t="s">
        <v>197</v>
      </c>
      <c r="F229">
        <f t="shared" ref="F229:I234" si="7">COUNTIFS($H$2:$H$151,$D229,$G$2:$G$151,F$227)</f>
        <v>1</v>
      </c>
      <c r="G229">
        <f t="shared" si="7"/>
        <v>0</v>
      </c>
      <c r="H229">
        <f t="shared" si="7"/>
        <v>0</v>
      </c>
      <c r="I229">
        <f t="shared" si="7"/>
        <v>7</v>
      </c>
    </row>
    <row r="230" spans="4:10" hidden="1" x14ac:dyDescent="0.25">
      <c r="D230">
        <v>3</v>
      </c>
      <c r="E230" t="s">
        <v>216</v>
      </c>
      <c r="F230">
        <f t="shared" si="7"/>
        <v>1</v>
      </c>
      <c r="G230">
        <f t="shared" si="7"/>
        <v>2</v>
      </c>
      <c r="H230">
        <f t="shared" si="7"/>
        <v>1</v>
      </c>
      <c r="I230">
        <f t="shared" si="7"/>
        <v>2</v>
      </c>
    </row>
    <row r="231" spans="4:10" hidden="1" x14ac:dyDescent="0.25">
      <c r="D231">
        <v>4</v>
      </c>
      <c r="E231" t="s">
        <v>47</v>
      </c>
      <c r="F231">
        <f t="shared" si="7"/>
        <v>5</v>
      </c>
      <c r="G231">
        <f t="shared" si="7"/>
        <v>1</v>
      </c>
      <c r="H231">
        <f t="shared" si="7"/>
        <v>2</v>
      </c>
      <c r="I231">
        <f t="shared" si="7"/>
        <v>9</v>
      </c>
    </row>
    <row r="232" spans="4:10" hidden="1" x14ac:dyDescent="0.25">
      <c r="D232">
        <v>5</v>
      </c>
      <c r="E232" t="s">
        <v>72</v>
      </c>
      <c r="F232">
        <f t="shared" si="7"/>
        <v>5</v>
      </c>
      <c r="G232">
        <f t="shared" si="7"/>
        <v>3</v>
      </c>
      <c r="H232">
        <f t="shared" si="7"/>
        <v>2</v>
      </c>
      <c r="I232">
        <f t="shared" si="7"/>
        <v>5</v>
      </c>
    </row>
    <row r="233" spans="4:10" hidden="1" x14ac:dyDescent="0.25">
      <c r="D233">
        <v>6</v>
      </c>
      <c r="E233" t="s">
        <v>36</v>
      </c>
      <c r="F233">
        <f t="shared" si="7"/>
        <v>6</v>
      </c>
      <c r="G233">
        <f t="shared" si="7"/>
        <v>2</v>
      </c>
      <c r="H233">
        <f t="shared" si="7"/>
        <v>1</v>
      </c>
      <c r="I233">
        <f t="shared" si="7"/>
        <v>7</v>
      </c>
    </row>
    <row r="234" spans="4:10" hidden="1" x14ac:dyDescent="0.25">
      <c r="D234">
        <v>7</v>
      </c>
      <c r="E234" t="s">
        <v>60</v>
      </c>
      <c r="F234">
        <f t="shared" si="7"/>
        <v>22</v>
      </c>
      <c r="G234">
        <f t="shared" si="7"/>
        <v>7</v>
      </c>
      <c r="H234">
        <f t="shared" si="7"/>
        <v>18</v>
      </c>
      <c r="I234">
        <f t="shared" si="7"/>
        <v>31</v>
      </c>
    </row>
    <row r="235" spans="4:10" hidden="1" x14ac:dyDescent="0.25"/>
    <row r="236" spans="4:10" ht="13" hidden="1" customHeight="1" x14ac:dyDescent="0.25">
      <c r="G236" s="57" t="s">
        <v>779</v>
      </c>
      <c r="H236" s="57"/>
      <c r="I236" s="57"/>
      <c r="J236" s="57"/>
    </row>
    <row r="237" spans="4:10" hidden="1" x14ac:dyDescent="0.25">
      <c r="F237" s="52" t="s">
        <v>805</v>
      </c>
      <c r="G237" s="57"/>
      <c r="H237" s="57"/>
      <c r="I237" s="57"/>
      <c r="J237" s="57"/>
    </row>
    <row r="238" spans="4:10" hidden="1" x14ac:dyDescent="0.25">
      <c r="F238" s="52"/>
      <c r="H238" t="s">
        <v>765</v>
      </c>
    </row>
    <row r="239" spans="4:10" ht="12.5" hidden="1" customHeight="1" x14ac:dyDescent="0.25">
      <c r="F239" s="52"/>
      <c r="G239" t="s">
        <v>32</v>
      </c>
      <c r="H239">
        <f>COUNTIF(SINGLE_RESPONSES[Previous Brand],G239)</f>
        <v>55</v>
      </c>
      <c r="I239" s="10">
        <f>H239/150</f>
        <v>0.36666666666666664</v>
      </c>
    </row>
    <row r="240" spans="4:10" hidden="1" x14ac:dyDescent="0.25">
      <c r="F240" s="52"/>
      <c r="G240" t="s">
        <v>717</v>
      </c>
      <c r="H240">
        <f>COUNTIF(SINGLE_RESPONSES[Previous Brand],G240)</f>
        <v>11</v>
      </c>
      <c r="I240" s="10">
        <f t="shared" ref="I240:I242" si="8">H240/150</f>
        <v>7.3333333333333334E-2</v>
      </c>
    </row>
    <row r="241" spans="5:10" hidden="1" x14ac:dyDescent="0.25">
      <c r="F241" s="52"/>
      <c r="G241" t="s">
        <v>369</v>
      </c>
      <c r="H241">
        <f>COUNTIF(SINGLE_RESPONSES[Previous Brand],G241)</f>
        <v>15</v>
      </c>
      <c r="I241" s="10">
        <f t="shared" si="8"/>
        <v>0.1</v>
      </c>
    </row>
    <row r="242" spans="5:10" hidden="1" x14ac:dyDescent="0.25">
      <c r="F242" s="52"/>
      <c r="G242" t="s">
        <v>329</v>
      </c>
      <c r="H242">
        <f>COUNTIF(SINGLE_RESPONSES[Previous Brand],G242)</f>
        <v>69</v>
      </c>
      <c r="I242" s="10">
        <f t="shared" si="8"/>
        <v>0.46</v>
      </c>
    </row>
    <row r="243" spans="5:10" hidden="1" x14ac:dyDescent="0.25"/>
    <row r="244" spans="5:10" hidden="1" x14ac:dyDescent="0.25"/>
    <row r="245" spans="5:10" hidden="1" x14ac:dyDescent="0.25"/>
    <row r="246" spans="5:10" hidden="1" x14ac:dyDescent="0.25"/>
    <row r="247" spans="5:10" hidden="1" x14ac:dyDescent="0.25">
      <c r="E247" s="53" t="s">
        <v>778</v>
      </c>
      <c r="G247" s="54" t="s">
        <v>780</v>
      </c>
      <c r="H247" s="54"/>
      <c r="I247" s="54"/>
    </row>
    <row r="248" spans="5:10" hidden="1" x14ac:dyDescent="0.25">
      <c r="E248" s="53"/>
      <c r="G248" s="54"/>
      <c r="H248" s="54"/>
      <c r="I248" s="54"/>
    </row>
    <row r="249" spans="5:10" hidden="1" x14ac:dyDescent="0.25">
      <c r="E249" s="53"/>
      <c r="G249" t="s">
        <v>32</v>
      </c>
      <c r="H249" t="s">
        <v>717</v>
      </c>
      <c r="I249" t="s">
        <v>369</v>
      </c>
      <c r="J249" t="s">
        <v>329</v>
      </c>
    </row>
    <row r="250" spans="5:10" hidden="1" x14ac:dyDescent="0.25">
      <c r="E250" s="53"/>
      <c r="F250" t="s">
        <v>32</v>
      </c>
      <c r="G250" s="23"/>
      <c r="H250">
        <f>COUNTIFS($I$2:$I$151,$F250,$G$2:$G$151,H$249)</f>
        <v>7</v>
      </c>
      <c r="I250">
        <f t="shared" ref="I250:J250" si="9">COUNTIFS($I$2:$I$151,$F250,$G$2:$G$151,I$249)</f>
        <v>7</v>
      </c>
      <c r="J250">
        <f t="shared" si="9"/>
        <v>26</v>
      </c>
    </row>
    <row r="251" spans="5:10" hidden="1" x14ac:dyDescent="0.25">
      <c r="E251" s="53"/>
      <c r="F251" t="s">
        <v>717</v>
      </c>
      <c r="G251">
        <f t="shared" ref="G251:J253" si="10">COUNTIFS($I$2:$I$151,$F251,$G$2:$G$151,G$249)</f>
        <v>4</v>
      </c>
      <c r="H251" s="23"/>
      <c r="I251">
        <f t="shared" si="10"/>
        <v>2</v>
      </c>
      <c r="J251">
        <f t="shared" si="10"/>
        <v>3</v>
      </c>
    </row>
    <row r="252" spans="5:10" hidden="1" x14ac:dyDescent="0.25">
      <c r="E252" s="53"/>
      <c r="F252" t="s">
        <v>369</v>
      </c>
      <c r="G252">
        <f t="shared" si="10"/>
        <v>4</v>
      </c>
      <c r="H252">
        <f t="shared" si="10"/>
        <v>0</v>
      </c>
      <c r="I252" s="23"/>
      <c r="J252">
        <f t="shared" si="10"/>
        <v>5</v>
      </c>
    </row>
    <row r="253" spans="5:10" hidden="1" x14ac:dyDescent="0.25">
      <c r="E253" s="53"/>
      <c r="F253" t="s">
        <v>329</v>
      </c>
      <c r="G253">
        <f t="shared" si="10"/>
        <v>20</v>
      </c>
      <c r="H253">
        <f t="shared" si="10"/>
        <v>9</v>
      </c>
      <c r="I253">
        <f t="shared" si="10"/>
        <v>9</v>
      </c>
      <c r="J253" s="23"/>
    </row>
    <row r="254" spans="5:10" hidden="1" x14ac:dyDescent="0.25">
      <c r="E254" s="53"/>
    </row>
    <row r="255" spans="5:10" hidden="1" x14ac:dyDescent="0.25">
      <c r="E255" s="53"/>
    </row>
    <row r="256" spans="5:10" hidden="1" x14ac:dyDescent="0.25">
      <c r="E256" s="53"/>
    </row>
    <row r="257" spans="5:14" hidden="1" x14ac:dyDescent="0.25"/>
    <row r="258" spans="5:14" hidden="1" x14ac:dyDescent="0.25">
      <c r="K258" t="s">
        <v>782</v>
      </c>
    </row>
    <row r="259" spans="5:14" hidden="1" x14ac:dyDescent="0.25">
      <c r="K259">
        <v>1</v>
      </c>
      <c r="L259" t="e">
        <f>COUNTIFS('[1]Reason_to_switch_&amp;_keepusing'!$G$2:$G$149,$E$263,'[1]Reason_to_switch_&amp;_keepusing'!$D$2:$D$149,F$261,'[1]Reason_to_switch_&amp;_keepusing'!$H$2:$H$149,$K259)</f>
        <v>#VALUE!</v>
      </c>
    </row>
    <row r="260" spans="5:14" ht="13" hidden="1" x14ac:dyDescent="0.3">
      <c r="E260" s="48" t="s">
        <v>781</v>
      </c>
      <c r="F260" s="49" t="s">
        <v>780</v>
      </c>
      <c r="G260" s="49"/>
      <c r="H260" s="49"/>
      <c r="I260" s="49"/>
      <c r="K260">
        <v>2</v>
      </c>
      <c r="L260" t="e">
        <f>COUNTIFS('[1]Reason_to_switch_&amp;_keepusing'!$G$2:$G$149,$E$263,'[1]Reason_to_switch_&amp;_keepusing'!$D$2:$D$149,G$261,'[1]Reason_to_switch_&amp;_keepusing'!$H$2:$H$149,$K260)</f>
        <v>#VALUE!</v>
      </c>
    </row>
    <row r="261" spans="5:14" ht="13" hidden="1" x14ac:dyDescent="0.3">
      <c r="E261" s="48"/>
      <c r="F261" s="26" t="s">
        <v>32</v>
      </c>
      <c r="G261" s="27" t="s">
        <v>329</v>
      </c>
      <c r="H261" s="28" t="s">
        <v>717</v>
      </c>
      <c r="I261" s="29" t="s">
        <v>369</v>
      </c>
      <c r="K261">
        <v>3</v>
      </c>
      <c r="L261" t="e">
        <f>COUNTIFS('[1]Reason_to_switch_&amp;_keepusing'!$G$2:$G$149,$E$263,'[1]Reason_to_switch_&amp;_keepusing'!$D$2:$D$149,G$261,'[1]Reason_to_switch_&amp;_keepusing'!$H$2:$H$149,$K261)</f>
        <v>#VALUE!</v>
      </c>
    </row>
    <row r="262" spans="5:14" ht="13" hidden="1" x14ac:dyDescent="0.3">
      <c r="E262" s="24" t="s">
        <v>789</v>
      </c>
      <c r="F262" s="23"/>
      <c r="G262" s="23"/>
      <c r="H262" s="23"/>
      <c r="I262" s="23"/>
      <c r="K262">
        <v>4</v>
      </c>
      <c r="L262" t="e">
        <f>COUNTIFS('[1]Reason_to_switch_&amp;_keepusing'!$G$2:$G$149,$E$263,'[1]Reason_to_switch_&amp;_keepusing'!$D$2:$D$149,G$261,'[1]Reason_to_switch_&amp;_keepusing'!$H$2:$H$149,$K262)</f>
        <v>#VALUE!</v>
      </c>
    </row>
    <row r="263" spans="5:14" hidden="1" x14ac:dyDescent="0.25">
      <c r="E263" t="s">
        <v>782</v>
      </c>
      <c r="F263">
        <f>COUNTIFS('Reason_to_switch_&amp;_keep_using'!$G:$G,SINGLE_RESPONSES!$E263,'Reason_to_switch_&amp;_keep_using'!$D:$D,SINGLE_RESPONSES!F$261)</f>
        <v>4</v>
      </c>
      <c r="G263">
        <f>COUNTIFS('Reason_to_switch_&amp;_keep_using'!$G:$G,SINGLE_RESPONSES!$E263,'Reason_to_switch_&amp;_keep_using'!$D:$D,SINGLE_RESPONSES!G$261)</f>
        <v>10</v>
      </c>
      <c r="H263">
        <f>COUNTIFS('Reason_to_switch_&amp;_keep_using'!$G:$G,SINGLE_RESPONSES!$E263,'Reason_to_switch_&amp;_keep_using'!$D:$D,SINGLE_RESPONSES!H$261)</f>
        <v>4</v>
      </c>
      <c r="I263">
        <f>COUNTIFS('Reason_to_switch_&amp;_keep_using'!$G:$G,SINGLE_RESPONSES!$E263,'Reason_to_switch_&amp;_keep_using'!$D:$D,SINGLE_RESPONSES!I$261)</f>
        <v>0</v>
      </c>
      <c r="K263">
        <v>5</v>
      </c>
      <c r="L263" t="e">
        <f>COUNTIFS('[1]Reason_to_switch_&amp;_keepusing'!$G$2:$G$149,$E$263,'[1]Reason_to_switch_&amp;_keepusing'!$D$2:$D$149,G$261,'[1]Reason_to_switch_&amp;_keepusing'!$H$2:$H$149,$K263)</f>
        <v>#VALUE!</v>
      </c>
    </row>
    <row r="264" spans="5:14" hidden="1" x14ac:dyDescent="0.25">
      <c r="E264" t="s">
        <v>783</v>
      </c>
      <c r="F264">
        <f>COUNTIFS('Reason_to_switch_&amp;_keep_using'!$G:$G,SINGLE_RESPONSES!$E264,'Reason_to_switch_&amp;_keep_using'!$D:$D,SINGLE_RESPONSES!F$261)</f>
        <v>4</v>
      </c>
      <c r="G264">
        <f>COUNTIFS('Reason_to_switch_&amp;_keep_using'!$G:$G,SINGLE_RESPONSES!$E264,'Reason_to_switch_&amp;_keep_using'!$D:$D,SINGLE_RESPONSES!G$261)</f>
        <v>3</v>
      </c>
      <c r="H264">
        <f>COUNTIFS('Reason_to_switch_&amp;_keep_using'!$G:$G,SINGLE_RESPONSES!$E264,'Reason_to_switch_&amp;_keep_using'!$D:$D,SINGLE_RESPONSES!H$261)</f>
        <v>1</v>
      </c>
      <c r="I264">
        <f>COUNTIFS('Reason_to_switch_&amp;_keep_using'!$G:$G,SINGLE_RESPONSES!$E264,'Reason_to_switch_&amp;_keep_using'!$D:$D,SINGLE_RESPONSES!I$261)</f>
        <v>2</v>
      </c>
      <c r="K264">
        <v>6</v>
      </c>
      <c r="L264" t="e">
        <f>COUNTIFS('[1]Reason_to_switch_&amp;_keepusing'!$G$2:$G$149,$E$263,'[1]Reason_to_switch_&amp;_keepusing'!$D$2:$D$149,G$261,'[1]Reason_to_switch_&amp;_keepusing'!$H$2:$H$149,$K264)</f>
        <v>#VALUE!</v>
      </c>
    </row>
    <row r="265" spans="5:14" hidden="1" x14ac:dyDescent="0.25">
      <c r="E265" t="s">
        <v>784</v>
      </c>
      <c r="F265">
        <f>COUNTIFS('Reason_to_switch_&amp;_keep_using'!$G:$G,SINGLE_RESPONSES!$E265,'Reason_to_switch_&amp;_keep_using'!$D:$D,SINGLE_RESPONSES!F$261)</f>
        <v>1</v>
      </c>
      <c r="G265">
        <f>COUNTIFS('Reason_to_switch_&amp;_keep_using'!$G:$G,SINGLE_RESPONSES!$E265,'Reason_to_switch_&amp;_keep_using'!$D:$D,SINGLE_RESPONSES!G$261)</f>
        <v>4</v>
      </c>
      <c r="H265">
        <f>COUNTIFS('Reason_to_switch_&amp;_keep_using'!$G:$G,SINGLE_RESPONSES!$E265,'Reason_to_switch_&amp;_keep_using'!$D:$D,SINGLE_RESPONSES!H$261)</f>
        <v>0</v>
      </c>
      <c r="I265">
        <f>COUNTIFS('Reason_to_switch_&amp;_keep_using'!$G:$G,SINGLE_RESPONSES!$E265,'Reason_to_switch_&amp;_keep_using'!$D:$D,SINGLE_RESPONSES!I$261)</f>
        <v>0</v>
      </c>
      <c r="K265">
        <v>7</v>
      </c>
      <c r="L265" t="s">
        <v>169</v>
      </c>
      <c r="N265" t="s">
        <v>804</v>
      </c>
    </row>
    <row r="266" spans="5:14" hidden="1" x14ac:dyDescent="0.25">
      <c r="E266" t="s">
        <v>785</v>
      </c>
      <c r="F266">
        <f>COUNTIFS('Reason_to_switch_&amp;_keep_using'!$G:$G,SINGLE_RESPONSES!$E266,'Reason_to_switch_&amp;_keep_using'!$D:$D,SINGLE_RESPONSES!F$261)</f>
        <v>1</v>
      </c>
      <c r="G266">
        <f>COUNTIFS('Reason_to_switch_&amp;_keep_using'!$G:$G,SINGLE_RESPONSES!$E266,'Reason_to_switch_&amp;_keep_using'!$D:$D,SINGLE_RESPONSES!G$261)</f>
        <v>1</v>
      </c>
      <c r="H266">
        <f>COUNTIFS('Reason_to_switch_&amp;_keep_using'!$G:$G,SINGLE_RESPONSES!$E266,'Reason_to_switch_&amp;_keep_using'!$D:$D,SINGLE_RESPONSES!H$261)</f>
        <v>1</v>
      </c>
      <c r="I266">
        <f>COUNTIFS('Reason_to_switch_&amp;_keep_using'!$G:$G,SINGLE_RESPONSES!$E266,'Reason_to_switch_&amp;_keep_using'!$D:$D,SINGLE_RESPONSES!I$261)</f>
        <v>0</v>
      </c>
    </row>
    <row r="267" spans="5:14" hidden="1" x14ac:dyDescent="0.25">
      <c r="E267" t="s">
        <v>786</v>
      </c>
      <c r="F267">
        <f>COUNTIFS('Reason_to_switch_&amp;_keep_using'!$G:$G,SINGLE_RESPONSES!$E267,'Reason_to_switch_&amp;_keep_using'!$D:$D,SINGLE_RESPONSES!F$261)</f>
        <v>2</v>
      </c>
      <c r="G267">
        <f>COUNTIFS('Reason_to_switch_&amp;_keep_using'!$G:$G,SINGLE_RESPONSES!$E267,'Reason_to_switch_&amp;_keep_using'!$D:$D,SINGLE_RESPONSES!G$261)</f>
        <v>3</v>
      </c>
      <c r="H267">
        <f>COUNTIFS('Reason_to_switch_&amp;_keep_using'!$G:$G,SINGLE_RESPONSES!$E267,'Reason_to_switch_&amp;_keep_using'!$D:$D,SINGLE_RESPONSES!H$261)</f>
        <v>0</v>
      </c>
      <c r="I267">
        <f>COUNTIFS('Reason_to_switch_&amp;_keep_using'!$G:$G,SINGLE_RESPONSES!$E267,'Reason_to_switch_&amp;_keep_using'!$D:$D,SINGLE_RESPONSES!I$261)</f>
        <v>0</v>
      </c>
    </row>
    <row r="268" spans="5:14" hidden="1" x14ac:dyDescent="0.25">
      <c r="E268" t="s">
        <v>787</v>
      </c>
      <c r="F268">
        <f>COUNTIFS('Reason_to_switch_&amp;_keep_using'!$G:$G,SINGLE_RESPONSES!$E268,'Reason_to_switch_&amp;_keep_using'!$D:$D,SINGLE_RESPONSES!F$261)</f>
        <v>0</v>
      </c>
      <c r="G268">
        <f>COUNTIFS('Reason_to_switch_&amp;_keep_using'!$G:$G,SINGLE_RESPONSES!$E268,'Reason_to_switch_&amp;_keep_using'!$D:$D,SINGLE_RESPONSES!G$261)</f>
        <v>0</v>
      </c>
      <c r="H268">
        <f>COUNTIFS('Reason_to_switch_&amp;_keep_using'!$G:$G,SINGLE_RESPONSES!$E268,'Reason_to_switch_&amp;_keep_using'!$D:$D,SINGLE_RESPONSES!H$261)</f>
        <v>0</v>
      </c>
      <c r="I268">
        <f>COUNTIFS('Reason_to_switch_&amp;_keep_using'!$G:$G,SINGLE_RESPONSES!$E268,'Reason_to_switch_&amp;_keep_using'!$D:$D,SINGLE_RESPONSES!I$261)</f>
        <v>1</v>
      </c>
    </row>
    <row r="269" spans="5:14" hidden="1" x14ac:dyDescent="0.25">
      <c r="E269" s="5" t="s">
        <v>794</v>
      </c>
      <c r="F269">
        <f>COUNTIFS('Reason_to_switch_&amp;_keep_using'!$G:$G,SINGLE_RESPONSES!$E269,'Reason_to_switch_&amp;_keep_using'!$D:$D,SINGLE_RESPONSES!F$261)</f>
        <v>6</v>
      </c>
      <c r="G269">
        <f>COUNTIFS('Reason_to_switch_&amp;_keep_using'!$G:$G,SINGLE_RESPONSES!$E269,'Reason_to_switch_&amp;_keep_using'!$D:$D,SINGLE_RESPONSES!G$261)</f>
        <v>7</v>
      </c>
      <c r="H269">
        <f>COUNTIFS('Reason_to_switch_&amp;_keep_using'!$G:$G,SINGLE_RESPONSES!$E269,'Reason_to_switch_&amp;_keep_using'!$D:$D,SINGLE_RESPONSES!H$261)</f>
        <v>3</v>
      </c>
      <c r="I269">
        <f>COUNTIFS('Reason_to_switch_&amp;_keep_using'!$G:$G,SINGLE_RESPONSES!$E269,'Reason_to_switch_&amp;_keep_using'!$D:$D,SINGLE_RESPONSES!I$261)</f>
        <v>3</v>
      </c>
      <c r="J269" s="5" t="s">
        <v>797</v>
      </c>
      <c r="K269" t="s">
        <v>794</v>
      </c>
    </row>
    <row r="270" spans="5:14" ht="13" hidden="1" x14ac:dyDescent="0.3">
      <c r="E270" s="25" t="s">
        <v>790</v>
      </c>
      <c r="F270" s="30"/>
      <c r="G270" s="30"/>
      <c r="H270" s="30"/>
      <c r="I270" s="30"/>
      <c r="J270" s="5" t="s">
        <v>796</v>
      </c>
      <c r="K270">
        <v>1</v>
      </c>
      <c r="L270" t="e">
        <f>COUNTIFS('[1]Reason_to_switch_&amp;_keepusing'!$G$2:$G$149,$E$269,'[1]Reason_to_switch_&amp;_keepusing'!$D$2:$D$149,G$261,'[1]Reason_to_switch_&amp;_keepusing'!$H$2:$H$149,$K270)</f>
        <v>#VALUE!</v>
      </c>
    </row>
    <row r="271" spans="5:14" hidden="1" x14ac:dyDescent="0.25">
      <c r="E271" t="s">
        <v>791</v>
      </c>
      <c r="F271">
        <f>COUNTIFS('Reason_to_switch_&amp;_keep_using'!$G:$G,SINGLE_RESPONSES!$E271,'Reason_to_switch_&amp;_keep_using'!$D:$D,SINGLE_RESPONSES!F$261)</f>
        <v>1</v>
      </c>
      <c r="G271">
        <f>COUNTIFS('Reason_to_switch_&amp;_keep_using'!$G:$G,SINGLE_RESPONSES!$E271,'Reason_to_switch_&amp;_keep_using'!$D:$D,SINGLE_RESPONSES!G$261)</f>
        <v>2</v>
      </c>
      <c r="H271">
        <f>COUNTIFS('Reason_to_switch_&amp;_keep_using'!$G:$G,SINGLE_RESPONSES!$E271,'Reason_to_switch_&amp;_keep_using'!$D:$D,SINGLE_RESPONSES!H$261)</f>
        <v>1</v>
      </c>
      <c r="I271">
        <f>COUNTIFS('Reason_to_switch_&amp;_keep_using'!$G:$G,SINGLE_RESPONSES!$E271,'Reason_to_switch_&amp;_keep_using'!$D:$D,SINGLE_RESPONSES!I$261)</f>
        <v>1</v>
      </c>
      <c r="K271">
        <v>2</v>
      </c>
      <c r="L271" t="e">
        <f>COUNTIFS('[1]Reason_to_switch_&amp;_keepusing'!$G$2:$G$149,$E$269,'[1]Reason_to_switch_&amp;_keepusing'!$D$2:$D$149,G$261,'[1]Reason_to_switch_&amp;_keepusing'!$H$2:$H$149,$K271)</f>
        <v>#VALUE!</v>
      </c>
    </row>
    <row r="272" spans="5:14" hidden="1" x14ac:dyDescent="0.25">
      <c r="E272" t="s">
        <v>792</v>
      </c>
      <c r="F272">
        <f>COUNTIFS('Reason_to_switch_&amp;_keep_using'!$G:$G,SINGLE_RESPONSES!$E272,'Reason_to_switch_&amp;_keep_using'!$D:$D,SINGLE_RESPONSES!F$261)</f>
        <v>3</v>
      </c>
      <c r="G272">
        <f>COUNTIFS('Reason_to_switch_&amp;_keep_using'!$G:$G,SINGLE_RESPONSES!$E272,'Reason_to_switch_&amp;_keep_using'!$D:$D,SINGLE_RESPONSES!G$261)</f>
        <v>0</v>
      </c>
      <c r="H272">
        <f>COUNTIFS('Reason_to_switch_&amp;_keep_using'!$G:$G,SINGLE_RESPONSES!$E272,'Reason_to_switch_&amp;_keep_using'!$D:$D,SINGLE_RESPONSES!H$261)</f>
        <v>3</v>
      </c>
      <c r="I272">
        <f>COUNTIFS('Reason_to_switch_&amp;_keep_using'!$G:$G,SINGLE_RESPONSES!$E272,'Reason_to_switch_&amp;_keep_using'!$D:$D,SINGLE_RESPONSES!I$261)</f>
        <v>2</v>
      </c>
      <c r="K272">
        <v>3</v>
      </c>
      <c r="L272" t="e">
        <f>COUNTIFS('[1]Reason_to_switch_&amp;_keepusing'!$G$2:$G$149,$E$269,'[1]Reason_to_switch_&amp;_keepusing'!$D$2:$D$149,G$261,'[1]Reason_to_switch_&amp;_keepusing'!$H$2:$H$149,$K272)</f>
        <v>#VALUE!</v>
      </c>
    </row>
    <row r="273" spans="5:12" hidden="1" x14ac:dyDescent="0.25">
      <c r="E273" t="s">
        <v>793</v>
      </c>
      <c r="F273">
        <f>COUNTIFS('Reason_to_switch_&amp;_keep_using'!$G:$G,SINGLE_RESPONSES!$E273,'Reason_to_switch_&amp;_keep_using'!$D:$D,SINGLE_RESPONSES!F$261)</f>
        <v>0</v>
      </c>
      <c r="G273">
        <f>COUNTIFS('Reason_to_switch_&amp;_keep_using'!$G:$G,SINGLE_RESPONSES!$E273,'Reason_to_switch_&amp;_keep_using'!$D:$D,SINGLE_RESPONSES!G$261)</f>
        <v>2</v>
      </c>
      <c r="H273">
        <f>COUNTIFS('Reason_to_switch_&amp;_keep_using'!$G:$G,SINGLE_RESPONSES!$E273,'Reason_to_switch_&amp;_keep_using'!$D:$D,SINGLE_RESPONSES!H$261)</f>
        <v>0</v>
      </c>
      <c r="I273">
        <f>COUNTIFS('Reason_to_switch_&amp;_keep_using'!$G:$G,SINGLE_RESPONSES!$E273,'Reason_to_switch_&amp;_keep_using'!$D:$D,SINGLE_RESPONSES!I$261)</f>
        <v>0</v>
      </c>
      <c r="K273">
        <v>4</v>
      </c>
      <c r="L273" t="e">
        <f>COUNTIFS('[1]Reason_to_switch_&amp;_keepusing'!$G$2:$G$149,$E$269,'[1]Reason_to_switch_&amp;_keepusing'!$D$2:$D$149,G$261,'[1]Reason_to_switch_&amp;_keepusing'!$H$2:$H$149,$K273)</f>
        <v>#VALUE!</v>
      </c>
    </row>
    <row r="274" spans="5:12" hidden="1" x14ac:dyDescent="0.25">
      <c r="E274" t="s">
        <v>788</v>
      </c>
      <c r="F274">
        <f>COUNTIFS('Reason_to_switch_&amp;_keep_using'!$G:$G,SINGLE_RESPONSES!$E274,'Reason_to_switch_&amp;_keep_using'!$D:$D,SINGLE_RESPONSES!F$261)</f>
        <v>0</v>
      </c>
      <c r="G274">
        <f>COUNTIFS('Reason_to_switch_&amp;_keep_using'!$G:$G,SINGLE_RESPONSES!$E274,'Reason_to_switch_&amp;_keep_using'!$D:$D,SINGLE_RESPONSES!G$261)</f>
        <v>2</v>
      </c>
      <c r="H274">
        <f>COUNTIFS('Reason_to_switch_&amp;_keep_using'!$G:$G,SINGLE_RESPONSES!$E274,'Reason_to_switch_&amp;_keep_using'!$D:$D,SINGLE_RESPONSES!H$261)</f>
        <v>0</v>
      </c>
      <c r="I274">
        <f>COUNTIFS('Reason_to_switch_&amp;_keep_using'!$G:$G,SINGLE_RESPONSES!$E274,'Reason_to_switch_&amp;_keep_using'!$D:$D,SINGLE_RESPONSES!I$261)</f>
        <v>0</v>
      </c>
      <c r="K274">
        <v>5</v>
      </c>
      <c r="L274" t="e">
        <f>COUNTIFS('[1]Reason_to_switch_&amp;_keepusing'!$G$2:$G$149,$E$269,'[1]Reason_to_switch_&amp;_keepusing'!$D$2:$D$149,G$261,'[1]Reason_to_switch_&amp;_keepusing'!$H$2:$H$149,$K274)</f>
        <v>#VALUE!</v>
      </c>
    </row>
    <row r="275" spans="5:12" hidden="1" x14ac:dyDescent="0.25">
      <c r="E275" s="5" t="s">
        <v>795</v>
      </c>
      <c r="F275">
        <f>COUNTIFS('Reason_to_switch_&amp;_keep_using'!$G:$G,SINGLE_RESPONSES!$E275,'Reason_to_switch_&amp;_keep_using'!$D:$D,SINGLE_RESPONSES!F$261)</f>
        <v>0</v>
      </c>
      <c r="G275">
        <f>COUNTIFS('Reason_to_switch_&amp;_keep_using'!$G:$G,SINGLE_RESPONSES!$E275,'Reason_to_switch_&amp;_keep_using'!$D:$D,SINGLE_RESPONSES!G$261)</f>
        <v>0</v>
      </c>
      <c r="H275">
        <f>COUNTIFS('Reason_to_switch_&amp;_keep_using'!$G:$G,SINGLE_RESPONSES!$E275,'Reason_to_switch_&amp;_keep_using'!$D:$D,SINGLE_RESPONSES!H$261)</f>
        <v>0</v>
      </c>
      <c r="I275">
        <f>COUNTIFS('Reason_to_switch_&amp;_keep_using'!$G:$G,SINGLE_RESPONSES!$E275,'Reason_to_switch_&amp;_keep_using'!$D:$D,SINGLE_RESPONSES!I$261)</f>
        <v>0</v>
      </c>
      <c r="K275">
        <v>6</v>
      </c>
      <c r="L275" t="e">
        <f>COUNTIFS('[1]Reason_to_switch_&amp;_keepusing'!$G$2:$G$149,$E$269,'[1]Reason_to_switch_&amp;_keepusing'!$D$2:$D$149,G$261,'[1]Reason_to_switch_&amp;_keepusing'!$H$2:$H$149,$K275)</f>
        <v>#VALUE!</v>
      </c>
    </row>
    <row r="276" spans="5:12" hidden="1" x14ac:dyDescent="0.25">
      <c r="K276">
        <v>7</v>
      </c>
      <c r="L276" t="e">
        <f>COUNTIFS('[1]Reason_to_switch_&amp;_keepusing'!$G$2:$G$149,$E$269,'[1]Reason_to_switch_&amp;_keepusing'!$D$2:$D$149,G$261,'[1]Reason_to_switch_&amp;_keepusing'!$H$2:$H$149,$K276)</f>
        <v>#VALUE!</v>
      </c>
    </row>
    <row r="277" spans="5:12" hidden="1" x14ac:dyDescent="0.25"/>
    <row r="278" spans="5:12" hidden="1" x14ac:dyDescent="0.25"/>
    <row r="279" spans="5:12" hidden="1" x14ac:dyDescent="0.25"/>
    <row r="280" spans="5:12" hidden="1" x14ac:dyDescent="0.25"/>
    <row r="281" spans="5:12" hidden="1" x14ac:dyDescent="0.25"/>
    <row r="282" spans="5:12" ht="13" hidden="1" x14ac:dyDescent="0.3">
      <c r="E282" s="48" t="s">
        <v>798</v>
      </c>
      <c r="F282" s="49" t="s">
        <v>803</v>
      </c>
      <c r="G282" s="49"/>
      <c r="H282" s="49"/>
      <c r="I282" s="49"/>
    </row>
    <row r="283" spans="5:12" ht="13" hidden="1" x14ac:dyDescent="0.3">
      <c r="E283" s="48"/>
      <c r="F283" s="26" t="s">
        <v>32</v>
      </c>
      <c r="G283" s="27" t="s">
        <v>329</v>
      </c>
      <c r="H283" s="28" t="s">
        <v>717</v>
      </c>
      <c r="I283" s="29" t="s">
        <v>369</v>
      </c>
    </row>
    <row r="284" spans="5:12" hidden="1" x14ac:dyDescent="0.25">
      <c r="E284" s="5" t="s">
        <v>782</v>
      </c>
      <c r="F284" t="e">
        <f>COUNTIFS('[1]Reason_to_switch_&amp;_keepusing'!$K$3:$K$151,$E284,'[1]Reason_to_switch_&amp;_keepusing'!$D$3:$D$151,F$283)</f>
        <v>#VALUE!</v>
      </c>
      <c r="G284" t="e">
        <f>COUNTIFS('[1]Reason_to_switch_&amp;_keepusing'!$K$3:$K$151,$E284,'[1]Reason_to_switch_&amp;_keepusing'!$D$3:$D$151,G$283)</f>
        <v>#VALUE!</v>
      </c>
      <c r="H284" t="e">
        <f>COUNTIFS('[1]Reason_to_switch_&amp;_keepusing'!$K$3:$K$151,$E284,'[1]Reason_to_switch_&amp;_keepusing'!$D$3:$D$151,H$283)</f>
        <v>#VALUE!</v>
      </c>
      <c r="I284" t="e">
        <f>COUNTIFS('[1]Reason_to_switch_&amp;_keepusing'!$K$3:$K$151,$E284,'[1]Reason_to_switch_&amp;_keepusing'!$D$3:$D$151,I$283)</f>
        <v>#VALUE!</v>
      </c>
    </row>
    <row r="285" spans="5:12" hidden="1" x14ac:dyDescent="0.25">
      <c r="E285" s="5" t="s">
        <v>786</v>
      </c>
      <c r="F285" t="e">
        <f>COUNTIFS('[1]Reason_to_switch_&amp;_keepusing'!$K$3:$K$151,$E285,'[1]Reason_to_switch_&amp;_keepusing'!$D$3:$D$151,F$283)</f>
        <v>#VALUE!</v>
      </c>
      <c r="G285" t="e">
        <f>COUNTIFS('[1]Reason_to_switch_&amp;_keepusing'!$K$3:$K$151,$E285,'[1]Reason_to_switch_&amp;_keepusing'!$D$3:$D$151,G$283)</f>
        <v>#VALUE!</v>
      </c>
      <c r="H285" t="e">
        <f>COUNTIFS('[1]Reason_to_switch_&amp;_keepusing'!$K$3:$K$151,$E285,'[1]Reason_to_switch_&amp;_keepusing'!$D$3:$D$151,H$283)</f>
        <v>#VALUE!</v>
      </c>
      <c r="I285" t="e">
        <f>COUNTIFS('[1]Reason_to_switch_&amp;_keepusing'!$K$3:$K$151,$E285,'[1]Reason_to_switch_&amp;_keepusing'!$D$3:$D$151,I$283)</f>
        <v>#VALUE!</v>
      </c>
    </row>
    <row r="286" spans="5:12" hidden="1" x14ac:dyDescent="0.25">
      <c r="E286" s="5" t="s">
        <v>784</v>
      </c>
      <c r="F286" t="e">
        <f>COUNTIFS('[1]Reason_to_switch_&amp;_keepusing'!$K$3:$K$151,$E286,'[1]Reason_to_switch_&amp;_keepusing'!$D$3:$D$151,F$283)</f>
        <v>#VALUE!</v>
      </c>
      <c r="G286" t="e">
        <f>COUNTIFS('[1]Reason_to_switch_&amp;_keepusing'!$K$3:$K$151,$E286,'[1]Reason_to_switch_&amp;_keepusing'!$D$3:$D$151,G$283)</f>
        <v>#VALUE!</v>
      </c>
      <c r="H286" t="e">
        <f>COUNTIFS('[1]Reason_to_switch_&amp;_keepusing'!$K$3:$K$151,$E286,'[1]Reason_to_switch_&amp;_keepusing'!$D$3:$D$151,H$283)</f>
        <v>#VALUE!</v>
      </c>
      <c r="I286" t="e">
        <f>COUNTIFS('[1]Reason_to_switch_&amp;_keepusing'!$K$3:$K$151,$E286,'[1]Reason_to_switch_&amp;_keepusing'!$D$3:$D$151,I$283)</f>
        <v>#VALUE!</v>
      </c>
    </row>
    <row r="287" spans="5:12" hidden="1" x14ac:dyDescent="0.25">
      <c r="E287" s="5" t="s">
        <v>799</v>
      </c>
      <c r="F287" t="e">
        <f>COUNTIFS('[1]Reason_to_switch_&amp;_keepusing'!$K$3:$K$151,$E287,'[1]Reason_to_switch_&amp;_keepusing'!$D$3:$D$151,F$283)</f>
        <v>#VALUE!</v>
      </c>
      <c r="G287" t="e">
        <f>COUNTIFS('[1]Reason_to_switch_&amp;_keepusing'!$K$3:$K$151,$E287,'[1]Reason_to_switch_&amp;_keepusing'!$D$3:$D$151,G$283)</f>
        <v>#VALUE!</v>
      </c>
      <c r="H287" t="e">
        <f>COUNTIFS('[1]Reason_to_switch_&amp;_keepusing'!$K$3:$K$151,$E287,'[1]Reason_to_switch_&amp;_keepusing'!$D$3:$D$151,H$283)</f>
        <v>#VALUE!</v>
      </c>
      <c r="I287" t="e">
        <f>COUNTIFS('[1]Reason_to_switch_&amp;_keepusing'!$K$3:$K$151,$E287,'[1]Reason_to_switch_&amp;_keepusing'!$D$3:$D$151,I$283)</f>
        <v>#VALUE!</v>
      </c>
    </row>
    <row r="288" spans="5:12" hidden="1" x14ac:dyDescent="0.25">
      <c r="E288" s="5" t="s">
        <v>800</v>
      </c>
      <c r="F288" t="e">
        <f>COUNTIFS('[1]Reason_to_switch_&amp;_keepusing'!$K$3:$K$151,$E288,'[1]Reason_to_switch_&amp;_keepusing'!$D$3:$D$151,F$283)</f>
        <v>#VALUE!</v>
      </c>
      <c r="G288" t="e">
        <f>COUNTIFS('[1]Reason_to_switch_&amp;_keepusing'!$K$3:$K$151,$E288,'[1]Reason_to_switch_&amp;_keepusing'!$D$3:$D$151,G$283)</f>
        <v>#VALUE!</v>
      </c>
      <c r="H288" t="e">
        <f>COUNTIFS('[1]Reason_to_switch_&amp;_keepusing'!$K$3:$K$151,$E288,'[1]Reason_to_switch_&amp;_keepusing'!$D$3:$D$151,H$283)</f>
        <v>#VALUE!</v>
      </c>
      <c r="I288" t="e">
        <f>COUNTIFS('[1]Reason_to_switch_&amp;_keepusing'!$K$3:$K$151,$E288,'[1]Reason_to_switch_&amp;_keepusing'!$D$3:$D$151,I$283)</f>
        <v>#VALUE!</v>
      </c>
    </row>
    <row r="289" spans="5:9" hidden="1" x14ac:dyDescent="0.25">
      <c r="E289" s="5" t="s">
        <v>787</v>
      </c>
      <c r="F289" t="e">
        <f>COUNTIFS('[1]Reason_to_switch_&amp;_keepusing'!$K$3:$K$151,$E289,'[1]Reason_to_switch_&amp;_keepusing'!$D$3:$D$151,F$283)</f>
        <v>#VALUE!</v>
      </c>
      <c r="G289" t="e">
        <f>COUNTIFS('[1]Reason_to_switch_&amp;_keepusing'!$K$3:$K$151,$E289,'[1]Reason_to_switch_&amp;_keepusing'!$D$3:$D$151,G$283)</f>
        <v>#VALUE!</v>
      </c>
      <c r="H289" t="e">
        <f>COUNTIFS('[1]Reason_to_switch_&amp;_keepusing'!$K$3:$K$151,$E289,'[1]Reason_to_switch_&amp;_keepusing'!$D$3:$D$151,H$283)</f>
        <v>#VALUE!</v>
      </c>
      <c r="I289" t="e">
        <f>COUNTIFS('[1]Reason_to_switch_&amp;_keepusing'!$K$3:$K$151,$E289,'[1]Reason_to_switch_&amp;_keepusing'!$D$3:$D$151,I$283)</f>
        <v>#VALUE!</v>
      </c>
    </row>
    <row r="290" spans="5:9" hidden="1" x14ac:dyDescent="0.25">
      <c r="E290" s="5" t="s">
        <v>801</v>
      </c>
      <c r="F290" t="e">
        <f>COUNTIFS('[1]Reason_to_switch_&amp;_keepusing'!$K$3:$K$151,$E290,'[1]Reason_to_switch_&amp;_keepusing'!$D$3:$D$151,F$283)</f>
        <v>#VALUE!</v>
      </c>
      <c r="G290" t="e">
        <f>COUNTIFS('[1]Reason_to_switch_&amp;_keepusing'!$K$3:$K$151,$E290,'[1]Reason_to_switch_&amp;_keepusing'!$D$3:$D$151,G$283)</f>
        <v>#VALUE!</v>
      </c>
      <c r="H290" t="e">
        <f>COUNTIFS('[1]Reason_to_switch_&amp;_keepusing'!$K$3:$K$151,$E290,'[1]Reason_to_switch_&amp;_keepusing'!$D$3:$D$151,H$283)</f>
        <v>#VALUE!</v>
      </c>
      <c r="I290" t="e">
        <f>COUNTIFS('[1]Reason_to_switch_&amp;_keepusing'!$K$3:$K$151,$E290,'[1]Reason_to_switch_&amp;_keepusing'!$D$3:$D$151,I$283)</f>
        <v>#VALUE!</v>
      </c>
    </row>
    <row r="291" spans="5:9" hidden="1" x14ac:dyDescent="0.25">
      <c r="E291" s="5" t="s">
        <v>802</v>
      </c>
      <c r="F291" t="e">
        <f>COUNTIFS('[1]Reason_to_switch_&amp;_keepusing'!$K$3:$K$151,$E291,'[1]Reason_to_switch_&amp;_keepusing'!$D$3:$D$151,F$283)</f>
        <v>#VALUE!</v>
      </c>
      <c r="G291" t="e">
        <f>COUNTIFS('[1]Reason_to_switch_&amp;_keepusing'!$K$3:$K$151,$E291,'[1]Reason_to_switch_&amp;_keepusing'!$D$3:$D$151,G$283)</f>
        <v>#VALUE!</v>
      </c>
      <c r="H291" t="e">
        <f>COUNTIFS('[1]Reason_to_switch_&amp;_keepusing'!$K$3:$K$151,$E291,'[1]Reason_to_switch_&amp;_keepusing'!$D$3:$D$151,H$283)</f>
        <v>#VALUE!</v>
      </c>
      <c r="I291" t="e">
        <f>COUNTIFS('[1]Reason_to_switch_&amp;_keepusing'!$K$3:$K$151,$E291,'[1]Reason_to_switch_&amp;_keepusing'!$D$3:$D$151,I$283)</f>
        <v>#VALUE!</v>
      </c>
    </row>
    <row r="292" spans="5:9" hidden="1" x14ac:dyDescent="0.25">
      <c r="F292" t="e">
        <f>SUM(F284:F291)</f>
        <v>#VALUE!</v>
      </c>
      <c r="G292" t="e">
        <f t="shared" ref="G292:I292" si="11">SUM(G284:G291)</f>
        <v>#VALUE!</v>
      </c>
      <c r="H292" t="e">
        <f t="shared" si="11"/>
        <v>#VALUE!</v>
      </c>
      <c r="I292" t="e">
        <f t="shared" si="11"/>
        <v>#VALUE!</v>
      </c>
    </row>
  </sheetData>
  <sortState xmlns:xlrd2="http://schemas.microsoft.com/office/spreadsheetml/2017/richdata2" ref="G218:G224">
    <sortCondition ref="G218:G224"/>
  </sortState>
  <mergeCells count="15">
    <mergeCell ref="G216:I216"/>
    <mergeCell ref="F237:F242"/>
    <mergeCell ref="G236:J237"/>
    <mergeCell ref="B154:E154"/>
    <mergeCell ref="B176:E176"/>
    <mergeCell ref="G154:I154"/>
    <mergeCell ref="G183:I183"/>
    <mergeCell ref="G206:I206"/>
    <mergeCell ref="F260:I260"/>
    <mergeCell ref="E260:E261"/>
    <mergeCell ref="E282:E283"/>
    <mergeCell ref="F282:I282"/>
    <mergeCell ref="G226:I226"/>
    <mergeCell ref="E247:E256"/>
    <mergeCell ref="G247:I248"/>
  </mergeCells>
  <conditionalFormatting sqref="F228:I234">
    <cfRule type="colorScale" priority="10">
      <colorScale>
        <cfvo type="min"/>
        <cfvo type="percentile" val="50"/>
        <cfvo type="max"/>
        <color rgb="FFF8696B"/>
        <color rgb="FFFFEB84"/>
        <color rgb="FF63BE7B"/>
      </colorScale>
    </cfRule>
  </conditionalFormatting>
  <conditionalFormatting sqref="F263:I269">
    <cfRule type="colorScale" priority="8">
      <colorScale>
        <cfvo type="min"/>
        <cfvo type="percentile" val="50"/>
        <cfvo type="max"/>
        <color rgb="FFF8696B"/>
        <color rgb="FFFFEB84"/>
        <color rgb="FF63BE7B"/>
      </colorScale>
    </cfRule>
  </conditionalFormatting>
  <conditionalFormatting sqref="F271:I275">
    <cfRule type="colorScale" priority="1">
      <colorScale>
        <cfvo type="min"/>
        <cfvo type="percentile" val="50"/>
        <cfvo type="max"/>
        <color rgb="FFF8696B"/>
        <color rgb="FFFFEB84"/>
        <color rgb="FF63BE7B"/>
      </colorScale>
    </cfRule>
  </conditionalFormatting>
  <conditionalFormatting sqref="F284:I291">
    <cfRule type="colorScale" priority="11">
      <colorScale>
        <cfvo type="min"/>
        <cfvo type="percentile" val="50"/>
        <cfvo type="max"/>
        <color rgb="FFF8696B"/>
        <color rgb="FFFFEB84"/>
        <color rgb="FF63BE7B"/>
      </colorScale>
    </cfRule>
  </conditionalFormatting>
  <conditionalFormatting sqref="G250:J253">
    <cfRule type="colorScale" priority="9">
      <colorScale>
        <cfvo type="min"/>
        <cfvo type="percentile" val="50"/>
        <cfvo type="max"/>
        <color rgb="FFF8696B"/>
        <color rgb="FFFFEB84"/>
        <color rgb="FF63BE7B"/>
      </colorScale>
    </cfRule>
  </conditionalFormatting>
  <conditionalFormatting sqref="I239:I242">
    <cfRule type="colorScale" priority="3">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AD5B-033E-4D10-8207-D70F60E50408}">
  <dimension ref="A1:AA151"/>
  <sheetViews>
    <sheetView workbookViewId="0">
      <selection activeCell="A17" sqref="A17"/>
    </sheetView>
  </sheetViews>
  <sheetFormatPr defaultRowHeight="12.5" x14ac:dyDescent="0.25"/>
  <cols>
    <col min="1" max="1" width="26.7265625" bestFit="1" customWidth="1"/>
    <col min="2" max="2" width="14.453125" bestFit="1" customWidth="1"/>
    <col min="3" max="3" width="11.7265625" bestFit="1" customWidth="1"/>
    <col min="4" max="4" width="9.90625" bestFit="1" customWidth="1"/>
    <col min="5" max="5" width="10.90625" bestFit="1" customWidth="1"/>
    <col min="6" max="7" width="31.36328125" bestFit="1" customWidth="1"/>
    <col min="8" max="8" width="12.1796875" bestFit="1" customWidth="1"/>
    <col min="9" max="9" width="13.1796875" bestFit="1" customWidth="1"/>
    <col min="10" max="10" width="16.54296875" bestFit="1" customWidth="1"/>
    <col min="11" max="11" width="74.1796875" bestFit="1" customWidth="1"/>
    <col min="12" max="12" width="14.26953125" bestFit="1" customWidth="1"/>
    <col min="13" max="13" width="74.1796875" bestFit="1" customWidth="1"/>
    <col min="14" max="14" width="6.81640625" bestFit="1" customWidth="1"/>
    <col min="15" max="15" width="14.81640625" bestFit="1" customWidth="1"/>
    <col min="16" max="16" width="41.81640625" bestFit="1" customWidth="1"/>
    <col min="17" max="17" width="57.6328125" bestFit="1" customWidth="1"/>
    <col min="18" max="18" width="45.54296875" bestFit="1" customWidth="1"/>
    <col min="19" max="19" width="47.1796875" bestFit="1" customWidth="1"/>
    <col min="20" max="20" width="60.453125" bestFit="1" customWidth="1"/>
    <col min="21" max="21" width="27" bestFit="1" customWidth="1"/>
    <col min="22" max="22" width="74.1796875" bestFit="1" customWidth="1"/>
    <col min="23" max="23" width="34.453125" bestFit="1" customWidth="1"/>
    <col min="24" max="24" width="62.26953125" bestFit="1" customWidth="1"/>
    <col min="25" max="25" width="44.36328125" bestFit="1" customWidth="1"/>
    <col min="26" max="26" width="74.1796875" bestFit="1" customWidth="1"/>
    <col min="27" max="27" width="38.08984375" bestFit="1" customWidth="1"/>
    <col min="28" max="28" width="26.90625" bestFit="1" customWidth="1"/>
    <col min="29" max="29" width="74.1796875" bestFit="1" customWidth="1"/>
    <col min="30" max="30" width="34.36328125" bestFit="1" customWidth="1"/>
    <col min="31" max="31" width="62.1796875" bestFit="1" customWidth="1"/>
    <col min="32" max="32" width="44.26953125" bestFit="1" customWidth="1"/>
    <col min="33" max="33" width="74.1796875" bestFit="1" customWidth="1"/>
    <col min="34" max="34" width="38" bestFit="1" customWidth="1"/>
  </cols>
  <sheetData>
    <row r="1" spans="1:27" x14ac:dyDescent="0.25">
      <c r="A1" t="s">
        <v>711</v>
      </c>
      <c r="B1" t="s">
        <v>2</v>
      </c>
      <c r="C1" t="s">
        <v>712</v>
      </c>
      <c r="D1" t="s">
        <v>713</v>
      </c>
      <c r="E1" t="s">
        <v>5</v>
      </c>
      <c r="F1" t="s">
        <v>6</v>
      </c>
      <c r="G1" t="s">
        <v>7</v>
      </c>
      <c r="H1" t="s">
        <v>8</v>
      </c>
      <c r="I1" t="s">
        <v>738</v>
      </c>
      <c r="J1" t="s">
        <v>739</v>
      </c>
      <c r="K1" t="s">
        <v>740</v>
      </c>
      <c r="L1" t="s">
        <v>741</v>
      </c>
      <c r="M1" t="s">
        <v>742</v>
      </c>
      <c r="N1" t="s">
        <v>743</v>
      </c>
      <c r="O1" t="s">
        <v>744</v>
      </c>
      <c r="P1" t="s">
        <v>16</v>
      </c>
      <c r="Q1" t="s">
        <v>17</v>
      </c>
      <c r="R1" t="s">
        <v>18</v>
      </c>
      <c r="S1" t="s">
        <v>19</v>
      </c>
      <c r="T1" t="s">
        <v>20</v>
      </c>
      <c r="U1" t="s">
        <v>21</v>
      </c>
      <c r="V1" t="s">
        <v>22</v>
      </c>
      <c r="W1" t="s">
        <v>23</v>
      </c>
      <c r="X1" t="s">
        <v>24</v>
      </c>
      <c r="Y1" t="s">
        <v>25</v>
      </c>
      <c r="Z1" t="s">
        <v>714</v>
      </c>
      <c r="AA1" t="s">
        <v>27</v>
      </c>
    </row>
    <row r="2" spans="1:27" x14ac:dyDescent="0.25">
      <c r="A2" t="s">
        <v>28</v>
      </c>
      <c r="B2" t="s">
        <v>29</v>
      </c>
      <c r="C2" t="s">
        <v>204</v>
      </c>
      <c r="D2" t="s">
        <v>31</v>
      </c>
      <c r="E2" t="s">
        <v>32</v>
      </c>
      <c r="F2" t="s">
        <v>715</v>
      </c>
      <c r="G2" t="s">
        <v>32</v>
      </c>
      <c r="H2" t="s">
        <v>32</v>
      </c>
      <c r="I2" t="s">
        <v>716</v>
      </c>
      <c r="J2" t="s">
        <v>717</v>
      </c>
      <c r="K2" t="s">
        <v>38</v>
      </c>
      <c r="L2" t="s">
        <v>39</v>
      </c>
      <c r="M2" t="s">
        <v>40</v>
      </c>
      <c r="N2">
        <v>9</v>
      </c>
      <c r="O2" t="s">
        <v>329</v>
      </c>
      <c r="P2" t="s">
        <v>717</v>
      </c>
      <c r="Q2" t="s">
        <v>32</v>
      </c>
      <c r="R2" t="s">
        <v>329</v>
      </c>
      <c r="S2" t="s">
        <v>717</v>
      </c>
      <c r="T2" t="s">
        <v>32</v>
      </c>
      <c r="U2" t="s">
        <v>32</v>
      </c>
      <c r="V2" t="s">
        <v>32</v>
      </c>
      <c r="W2" t="s">
        <v>32</v>
      </c>
      <c r="X2" t="s">
        <v>43</v>
      </c>
      <c r="Y2" t="s">
        <v>32</v>
      </c>
      <c r="Z2" t="s">
        <v>44</v>
      </c>
      <c r="AA2">
        <v>1</v>
      </c>
    </row>
    <row r="3" spans="1:27" x14ac:dyDescent="0.25">
      <c r="A3" t="s">
        <v>45</v>
      </c>
      <c r="B3" t="s">
        <v>29</v>
      </c>
      <c r="C3" t="s">
        <v>46</v>
      </c>
      <c r="D3" t="s">
        <v>31</v>
      </c>
      <c r="E3" t="s">
        <v>32</v>
      </c>
      <c r="F3" t="s">
        <v>32</v>
      </c>
      <c r="G3" t="s">
        <v>32</v>
      </c>
      <c r="H3" t="s">
        <v>32</v>
      </c>
      <c r="I3" t="s">
        <v>718</v>
      </c>
      <c r="J3" t="s">
        <v>32</v>
      </c>
      <c r="K3" t="s">
        <v>745</v>
      </c>
      <c r="L3" t="s">
        <v>39</v>
      </c>
      <c r="M3" t="s">
        <v>49</v>
      </c>
      <c r="N3">
        <v>9</v>
      </c>
      <c r="O3" t="s">
        <v>746</v>
      </c>
      <c r="P3" t="s">
        <v>32</v>
      </c>
      <c r="Q3" t="s">
        <v>32</v>
      </c>
      <c r="R3" t="s">
        <v>32</v>
      </c>
      <c r="S3" t="s">
        <v>32</v>
      </c>
      <c r="T3" t="s">
        <v>32</v>
      </c>
      <c r="U3" t="s">
        <v>32</v>
      </c>
      <c r="V3" t="s">
        <v>32</v>
      </c>
      <c r="W3" t="s">
        <v>32</v>
      </c>
      <c r="X3" t="s">
        <v>39</v>
      </c>
      <c r="Y3" t="s">
        <v>32</v>
      </c>
      <c r="Z3" t="s">
        <v>51</v>
      </c>
      <c r="AA3">
        <v>5</v>
      </c>
    </row>
    <row r="4" spans="1:27" x14ac:dyDescent="0.25">
      <c r="A4" t="s">
        <v>52</v>
      </c>
      <c r="B4" t="s">
        <v>29</v>
      </c>
      <c r="C4" t="s">
        <v>46</v>
      </c>
      <c r="D4" t="s">
        <v>31</v>
      </c>
      <c r="E4" t="s">
        <v>717</v>
      </c>
      <c r="F4" t="s">
        <v>717</v>
      </c>
      <c r="G4" t="s">
        <v>717</v>
      </c>
      <c r="H4" t="s">
        <v>717</v>
      </c>
      <c r="I4" t="s">
        <v>718</v>
      </c>
      <c r="J4" t="s">
        <v>32</v>
      </c>
      <c r="K4" t="s">
        <v>53</v>
      </c>
      <c r="L4" t="s">
        <v>39</v>
      </c>
      <c r="M4" t="s">
        <v>53</v>
      </c>
      <c r="N4">
        <v>10</v>
      </c>
      <c r="O4" t="s">
        <v>746</v>
      </c>
      <c r="P4" t="s">
        <v>717</v>
      </c>
      <c r="Q4" t="s">
        <v>369</v>
      </c>
      <c r="R4" t="s">
        <v>32</v>
      </c>
      <c r="S4" t="s">
        <v>32</v>
      </c>
      <c r="T4" t="s">
        <v>717</v>
      </c>
      <c r="U4" t="s">
        <v>32</v>
      </c>
      <c r="V4" t="s">
        <v>717</v>
      </c>
      <c r="W4" t="s">
        <v>717</v>
      </c>
      <c r="X4" t="s">
        <v>39</v>
      </c>
      <c r="Y4" t="s">
        <v>32</v>
      </c>
      <c r="Z4" t="s">
        <v>56</v>
      </c>
      <c r="AA4">
        <v>10</v>
      </c>
    </row>
    <row r="5" spans="1:27" x14ac:dyDescent="0.25">
      <c r="A5" t="s">
        <v>57</v>
      </c>
      <c r="B5" t="s">
        <v>29</v>
      </c>
      <c r="C5" t="s">
        <v>46</v>
      </c>
      <c r="D5" t="s">
        <v>31</v>
      </c>
      <c r="E5" t="s">
        <v>32</v>
      </c>
      <c r="F5" t="s">
        <v>719</v>
      </c>
      <c r="G5" t="s">
        <v>32</v>
      </c>
      <c r="H5" t="s">
        <v>32</v>
      </c>
      <c r="I5" t="s">
        <v>720</v>
      </c>
      <c r="J5" t="s">
        <v>369</v>
      </c>
      <c r="K5" t="s">
        <v>62</v>
      </c>
      <c r="L5" t="s">
        <v>39</v>
      </c>
      <c r="M5" t="s">
        <v>63</v>
      </c>
      <c r="N5">
        <v>7</v>
      </c>
      <c r="O5" t="s">
        <v>369</v>
      </c>
      <c r="P5" t="s">
        <v>32</v>
      </c>
      <c r="Q5" t="s">
        <v>32</v>
      </c>
      <c r="R5" t="s">
        <v>32</v>
      </c>
      <c r="S5" t="s">
        <v>32</v>
      </c>
      <c r="T5" t="s">
        <v>32</v>
      </c>
      <c r="U5" t="s">
        <v>32</v>
      </c>
      <c r="V5" t="s">
        <v>32</v>
      </c>
      <c r="W5" t="s">
        <v>32</v>
      </c>
      <c r="X5" t="s">
        <v>39</v>
      </c>
      <c r="Y5" t="s">
        <v>32</v>
      </c>
      <c r="Z5" t="s">
        <v>64</v>
      </c>
      <c r="AA5">
        <v>5</v>
      </c>
    </row>
    <row r="6" spans="1:27" x14ac:dyDescent="0.25">
      <c r="A6" t="s">
        <v>65</v>
      </c>
      <c r="B6" t="s">
        <v>29</v>
      </c>
      <c r="C6" t="s">
        <v>46</v>
      </c>
      <c r="D6" t="s">
        <v>31</v>
      </c>
      <c r="E6" t="s">
        <v>32</v>
      </c>
      <c r="F6" t="s">
        <v>721</v>
      </c>
      <c r="G6" t="s">
        <v>32</v>
      </c>
      <c r="H6" t="s">
        <v>32</v>
      </c>
      <c r="I6" t="s">
        <v>716</v>
      </c>
      <c r="J6" t="s">
        <v>329</v>
      </c>
      <c r="K6" t="s">
        <v>67</v>
      </c>
      <c r="L6" t="s">
        <v>39</v>
      </c>
      <c r="M6" t="s">
        <v>68</v>
      </c>
      <c r="N6">
        <v>8</v>
      </c>
      <c r="O6" t="s">
        <v>329</v>
      </c>
      <c r="P6" t="s">
        <v>32</v>
      </c>
      <c r="Q6" t="s">
        <v>329</v>
      </c>
      <c r="R6" t="s">
        <v>329</v>
      </c>
      <c r="S6" t="s">
        <v>32</v>
      </c>
      <c r="T6" t="s">
        <v>32</v>
      </c>
      <c r="U6" t="s">
        <v>32</v>
      </c>
      <c r="V6" t="s">
        <v>32</v>
      </c>
      <c r="W6" t="s">
        <v>32</v>
      </c>
      <c r="X6" t="s">
        <v>39</v>
      </c>
      <c r="Y6" t="s">
        <v>32</v>
      </c>
      <c r="Z6" t="s">
        <v>69</v>
      </c>
      <c r="AA6">
        <v>7</v>
      </c>
    </row>
    <row r="7" spans="1:27" x14ac:dyDescent="0.25">
      <c r="A7" t="s">
        <v>70</v>
      </c>
      <c r="B7" t="s">
        <v>29</v>
      </c>
      <c r="C7" t="s">
        <v>46</v>
      </c>
      <c r="D7" t="s">
        <v>31</v>
      </c>
      <c r="E7" t="s">
        <v>329</v>
      </c>
      <c r="F7" t="s">
        <v>32</v>
      </c>
      <c r="G7" t="s">
        <v>32</v>
      </c>
      <c r="H7" t="s">
        <v>32</v>
      </c>
      <c r="I7" t="s">
        <v>722</v>
      </c>
      <c r="J7" t="s">
        <v>369</v>
      </c>
      <c r="K7" t="s">
        <v>73</v>
      </c>
      <c r="L7" t="s">
        <v>39</v>
      </c>
      <c r="M7" t="s">
        <v>74</v>
      </c>
      <c r="N7">
        <v>9</v>
      </c>
      <c r="O7" t="s">
        <v>369</v>
      </c>
      <c r="P7" t="s">
        <v>369</v>
      </c>
      <c r="Q7" t="s">
        <v>329</v>
      </c>
      <c r="R7" t="s">
        <v>32</v>
      </c>
      <c r="S7" t="s">
        <v>32</v>
      </c>
      <c r="T7" t="s">
        <v>32</v>
      </c>
      <c r="U7" t="s">
        <v>329</v>
      </c>
      <c r="V7" t="s">
        <v>369</v>
      </c>
      <c r="W7" t="s">
        <v>329</v>
      </c>
      <c r="X7" t="s">
        <v>43</v>
      </c>
      <c r="Y7" t="s">
        <v>747</v>
      </c>
      <c r="Z7" t="s">
        <v>76</v>
      </c>
      <c r="AA7">
        <v>10</v>
      </c>
    </row>
    <row r="8" spans="1:27" x14ac:dyDescent="0.25">
      <c r="A8" t="s">
        <v>77</v>
      </c>
      <c r="B8" t="s">
        <v>29</v>
      </c>
      <c r="C8" t="s">
        <v>46</v>
      </c>
      <c r="D8" t="s">
        <v>31</v>
      </c>
      <c r="E8" t="s">
        <v>32</v>
      </c>
      <c r="F8" t="s">
        <v>32</v>
      </c>
      <c r="G8" t="s">
        <v>723</v>
      </c>
      <c r="H8" t="s">
        <v>32</v>
      </c>
      <c r="I8" t="s">
        <v>720</v>
      </c>
      <c r="J8" t="s">
        <v>329</v>
      </c>
      <c r="K8" t="s">
        <v>79</v>
      </c>
      <c r="L8" t="s">
        <v>39</v>
      </c>
      <c r="M8" t="s">
        <v>80</v>
      </c>
      <c r="N8">
        <v>7</v>
      </c>
      <c r="O8" t="s">
        <v>746</v>
      </c>
      <c r="P8" t="s">
        <v>329</v>
      </c>
      <c r="Q8" t="s">
        <v>329</v>
      </c>
      <c r="R8" t="s">
        <v>329</v>
      </c>
      <c r="S8" t="s">
        <v>329</v>
      </c>
      <c r="T8" t="s">
        <v>32</v>
      </c>
      <c r="U8" t="s">
        <v>329</v>
      </c>
      <c r="V8" t="s">
        <v>329</v>
      </c>
      <c r="W8" t="s">
        <v>329</v>
      </c>
      <c r="X8" t="s">
        <v>39</v>
      </c>
      <c r="Y8" t="s">
        <v>329</v>
      </c>
      <c r="Z8" t="s">
        <v>82</v>
      </c>
      <c r="AA8">
        <v>7</v>
      </c>
    </row>
    <row r="9" spans="1:27" x14ac:dyDescent="0.25">
      <c r="A9" t="s">
        <v>83</v>
      </c>
      <c r="B9" t="s">
        <v>84</v>
      </c>
      <c r="C9" t="s">
        <v>46</v>
      </c>
      <c r="D9" t="s">
        <v>31</v>
      </c>
      <c r="E9" t="s">
        <v>369</v>
      </c>
      <c r="F9" t="s">
        <v>724</v>
      </c>
      <c r="G9" t="s">
        <v>725</v>
      </c>
      <c r="H9" t="s">
        <v>369</v>
      </c>
      <c r="I9" t="s">
        <v>720</v>
      </c>
      <c r="J9" t="s">
        <v>329</v>
      </c>
      <c r="K9" t="s">
        <v>87</v>
      </c>
      <c r="L9" t="s">
        <v>39</v>
      </c>
      <c r="M9" t="s">
        <v>88</v>
      </c>
      <c r="N9">
        <v>9</v>
      </c>
      <c r="O9" t="s">
        <v>329</v>
      </c>
      <c r="P9" t="s">
        <v>369</v>
      </c>
      <c r="Q9" t="s">
        <v>369</v>
      </c>
      <c r="R9" t="s">
        <v>329</v>
      </c>
      <c r="S9" t="s">
        <v>369</v>
      </c>
      <c r="T9" t="s">
        <v>369</v>
      </c>
      <c r="U9" t="s">
        <v>369</v>
      </c>
      <c r="V9" t="s">
        <v>369</v>
      </c>
      <c r="W9" t="s">
        <v>717</v>
      </c>
      <c r="X9" t="s">
        <v>89</v>
      </c>
      <c r="Y9" t="s">
        <v>32</v>
      </c>
      <c r="Z9" t="s">
        <v>90</v>
      </c>
      <c r="AA9">
        <v>10</v>
      </c>
    </row>
    <row r="10" spans="1:27" x14ac:dyDescent="0.25">
      <c r="A10" t="s">
        <v>91</v>
      </c>
      <c r="B10" t="s">
        <v>84</v>
      </c>
      <c r="C10" t="s">
        <v>46</v>
      </c>
      <c r="D10" t="s">
        <v>31</v>
      </c>
      <c r="E10" t="s">
        <v>329</v>
      </c>
      <c r="F10" t="s">
        <v>726</v>
      </c>
      <c r="G10" t="s">
        <v>329</v>
      </c>
      <c r="H10" t="s">
        <v>329</v>
      </c>
      <c r="I10" t="s">
        <v>718</v>
      </c>
      <c r="J10" t="s">
        <v>329</v>
      </c>
      <c r="K10" t="s">
        <v>745</v>
      </c>
      <c r="L10" t="s">
        <v>39</v>
      </c>
      <c r="M10" t="s">
        <v>95</v>
      </c>
      <c r="N10">
        <v>10</v>
      </c>
      <c r="O10" t="s">
        <v>746</v>
      </c>
      <c r="P10" t="s">
        <v>329</v>
      </c>
      <c r="Q10" t="s">
        <v>329</v>
      </c>
      <c r="R10" t="s">
        <v>329</v>
      </c>
      <c r="S10" t="s">
        <v>329</v>
      </c>
      <c r="T10" t="s">
        <v>329</v>
      </c>
      <c r="U10" t="s">
        <v>329</v>
      </c>
      <c r="V10" t="s">
        <v>329</v>
      </c>
      <c r="W10" t="s">
        <v>329</v>
      </c>
      <c r="X10" t="s">
        <v>89</v>
      </c>
      <c r="Y10" t="s">
        <v>747</v>
      </c>
      <c r="Z10" t="s">
        <v>97</v>
      </c>
      <c r="AA10">
        <v>1</v>
      </c>
    </row>
    <row r="11" spans="1:27" x14ac:dyDescent="0.25">
      <c r="A11" t="s">
        <v>98</v>
      </c>
      <c r="B11" t="s">
        <v>29</v>
      </c>
      <c r="C11" t="s">
        <v>46</v>
      </c>
      <c r="D11" t="s">
        <v>31</v>
      </c>
      <c r="E11" t="s">
        <v>717</v>
      </c>
      <c r="F11" t="s">
        <v>717</v>
      </c>
      <c r="G11" t="s">
        <v>715</v>
      </c>
      <c r="H11" t="s">
        <v>717</v>
      </c>
      <c r="I11" t="s">
        <v>720</v>
      </c>
      <c r="J11" t="s">
        <v>32</v>
      </c>
      <c r="K11" t="s">
        <v>101</v>
      </c>
      <c r="L11" t="s">
        <v>39</v>
      </c>
      <c r="M11" t="s">
        <v>102</v>
      </c>
      <c r="N11">
        <v>8</v>
      </c>
      <c r="O11" t="s">
        <v>329</v>
      </c>
      <c r="P11" t="s">
        <v>329</v>
      </c>
      <c r="Q11" t="s">
        <v>329</v>
      </c>
      <c r="R11" t="s">
        <v>329</v>
      </c>
      <c r="S11" t="s">
        <v>717</v>
      </c>
      <c r="T11" t="s">
        <v>717</v>
      </c>
      <c r="U11" t="s">
        <v>329</v>
      </c>
      <c r="V11" t="s">
        <v>329</v>
      </c>
      <c r="W11" t="s">
        <v>717</v>
      </c>
      <c r="X11" t="s">
        <v>89</v>
      </c>
      <c r="Y11" t="s">
        <v>32</v>
      </c>
      <c r="Z11" t="s">
        <v>103</v>
      </c>
      <c r="AA11">
        <v>5</v>
      </c>
    </row>
    <row r="12" spans="1:27" x14ac:dyDescent="0.25">
      <c r="A12" t="s">
        <v>104</v>
      </c>
      <c r="B12" t="s">
        <v>29</v>
      </c>
      <c r="C12" t="s">
        <v>46</v>
      </c>
      <c r="D12" t="s">
        <v>31</v>
      </c>
      <c r="E12" t="s">
        <v>329</v>
      </c>
      <c r="F12" t="s">
        <v>725</v>
      </c>
      <c r="G12" t="s">
        <v>725</v>
      </c>
      <c r="H12" t="s">
        <v>329</v>
      </c>
      <c r="I12" t="s">
        <v>718</v>
      </c>
      <c r="J12" t="s">
        <v>32</v>
      </c>
      <c r="K12" t="s">
        <v>106</v>
      </c>
      <c r="L12" t="s">
        <v>39</v>
      </c>
      <c r="M12" t="s">
        <v>107</v>
      </c>
      <c r="N12">
        <v>10</v>
      </c>
      <c r="O12" t="s">
        <v>369</v>
      </c>
      <c r="P12" t="s">
        <v>329</v>
      </c>
      <c r="Q12" t="s">
        <v>329</v>
      </c>
      <c r="R12" t="s">
        <v>329</v>
      </c>
      <c r="S12" t="s">
        <v>329</v>
      </c>
      <c r="T12" t="s">
        <v>329</v>
      </c>
      <c r="U12" t="s">
        <v>329</v>
      </c>
      <c r="V12" t="s">
        <v>329</v>
      </c>
      <c r="W12" t="s">
        <v>369</v>
      </c>
      <c r="X12" t="s">
        <v>43</v>
      </c>
      <c r="Y12" t="s">
        <v>747</v>
      </c>
      <c r="Z12" t="s">
        <v>108</v>
      </c>
      <c r="AA12">
        <v>1</v>
      </c>
    </row>
    <row r="13" spans="1:27" x14ac:dyDescent="0.25">
      <c r="A13" t="s">
        <v>109</v>
      </c>
      <c r="B13" t="s">
        <v>84</v>
      </c>
      <c r="C13" t="s">
        <v>46</v>
      </c>
      <c r="D13" t="s">
        <v>31</v>
      </c>
      <c r="E13" t="s">
        <v>329</v>
      </c>
      <c r="F13" t="s">
        <v>721</v>
      </c>
      <c r="G13" t="s">
        <v>32</v>
      </c>
      <c r="H13" t="s">
        <v>32</v>
      </c>
      <c r="I13" t="s">
        <v>722</v>
      </c>
      <c r="J13" t="s">
        <v>329</v>
      </c>
      <c r="K13" t="s">
        <v>110</v>
      </c>
      <c r="L13" t="s">
        <v>39</v>
      </c>
      <c r="M13" t="s">
        <v>111</v>
      </c>
      <c r="N13">
        <v>8</v>
      </c>
      <c r="O13" t="s">
        <v>717</v>
      </c>
      <c r="P13" t="s">
        <v>329</v>
      </c>
      <c r="Q13" t="s">
        <v>32</v>
      </c>
      <c r="R13" t="s">
        <v>717</v>
      </c>
      <c r="S13" t="s">
        <v>369</v>
      </c>
      <c r="T13" t="s">
        <v>369</v>
      </c>
      <c r="U13" t="s">
        <v>32</v>
      </c>
      <c r="V13" t="s">
        <v>369</v>
      </c>
      <c r="W13" t="s">
        <v>329</v>
      </c>
      <c r="X13" t="s">
        <v>43</v>
      </c>
      <c r="Y13" t="s">
        <v>32</v>
      </c>
      <c r="Z13" t="s">
        <v>112</v>
      </c>
      <c r="AA13">
        <v>9</v>
      </c>
    </row>
    <row r="14" spans="1:27" x14ac:dyDescent="0.25">
      <c r="A14" t="s">
        <v>113</v>
      </c>
      <c r="B14" t="s">
        <v>29</v>
      </c>
      <c r="C14" t="s">
        <v>46</v>
      </c>
      <c r="D14" t="s">
        <v>31</v>
      </c>
      <c r="E14" t="s">
        <v>32</v>
      </c>
      <c r="F14" t="s">
        <v>727</v>
      </c>
      <c r="G14" t="s">
        <v>727</v>
      </c>
      <c r="H14" t="s">
        <v>369</v>
      </c>
      <c r="I14" t="s">
        <v>720</v>
      </c>
      <c r="J14" t="s">
        <v>32</v>
      </c>
      <c r="K14" t="s">
        <v>115</v>
      </c>
      <c r="L14" t="s">
        <v>39</v>
      </c>
      <c r="M14" t="s">
        <v>116</v>
      </c>
      <c r="N14">
        <v>10</v>
      </c>
      <c r="O14" t="s">
        <v>746</v>
      </c>
      <c r="P14" t="s">
        <v>369</v>
      </c>
      <c r="Q14" t="s">
        <v>32</v>
      </c>
      <c r="R14" t="s">
        <v>32</v>
      </c>
      <c r="S14" t="s">
        <v>32</v>
      </c>
      <c r="T14" t="s">
        <v>32</v>
      </c>
      <c r="U14" t="s">
        <v>369</v>
      </c>
      <c r="V14" t="s">
        <v>32</v>
      </c>
      <c r="W14" t="s">
        <v>369</v>
      </c>
      <c r="X14" t="s">
        <v>89</v>
      </c>
      <c r="Y14" t="s">
        <v>32</v>
      </c>
      <c r="Z14" t="s">
        <v>118</v>
      </c>
      <c r="AA14">
        <v>8</v>
      </c>
    </row>
    <row r="15" spans="1:27" x14ac:dyDescent="0.25">
      <c r="A15" t="s">
        <v>119</v>
      </c>
      <c r="B15" t="s">
        <v>29</v>
      </c>
      <c r="C15" t="s">
        <v>46</v>
      </c>
      <c r="D15" t="s">
        <v>31</v>
      </c>
      <c r="E15" t="s">
        <v>329</v>
      </c>
      <c r="F15" t="s">
        <v>715</v>
      </c>
      <c r="G15" t="s">
        <v>32</v>
      </c>
      <c r="H15" t="s">
        <v>329</v>
      </c>
      <c r="I15" t="s">
        <v>720</v>
      </c>
      <c r="J15" t="s">
        <v>329</v>
      </c>
      <c r="K15" t="s">
        <v>121</v>
      </c>
      <c r="L15" t="s">
        <v>39</v>
      </c>
      <c r="M15" t="s">
        <v>122</v>
      </c>
      <c r="N15">
        <v>7</v>
      </c>
      <c r="O15" t="s">
        <v>746</v>
      </c>
      <c r="P15" t="s">
        <v>32</v>
      </c>
      <c r="Q15" t="s">
        <v>329</v>
      </c>
      <c r="R15" t="s">
        <v>717</v>
      </c>
      <c r="S15" t="s">
        <v>717</v>
      </c>
      <c r="T15" t="s">
        <v>32</v>
      </c>
      <c r="U15" t="s">
        <v>329</v>
      </c>
      <c r="V15" t="s">
        <v>329</v>
      </c>
      <c r="W15" t="s">
        <v>329</v>
      </c>
      <c r="X15" t="s">
        <v>43</v>
      </c>
      <c r="Y15" t="s">
        <v>747</v>
      </c>
      <c r="Z15" t="s">
        <v>124</v>
      </c>
      <c r="AA15">
        <v>2</v>
      </c>
    </row>
    <row r="16" spans="1:27" x14ac:dyDescent="0.25">
      <c r="A16" t="s">
        <v>125</v>
      </c>
      <c r="B16" t="s">
        <v>84</v>
      </c>
      <c r="C16" t="s">
        <v>126</v>
      </c>
      <c r="D16" t="s">
        <v>31</v>
      </c>
      <c r="E16" t="s">
        <v>329</v>
      </c>
      <c r="F16" t="s">
        <v>723</v>
      </c>
      <c r="G16" t="s">
        <v>723</v>
      </c>
      <c r="H16" t="s">
        <v>329</v>
      </c>
      <c r="I16" t="s">
        <v>720</v>
      </c>
      <c r="J16" t="s">
        <v>329</v>
      </c>
      <c r="K16" t="s">
        <v>128</v>
      </c>
      <c r="L16" t="s">
        <v>39</v>
      </c>
      <c r="M16" t="s">
        <v>129</v>
      </c>
      <c r="N16">
        <v>10</v>
      </c>
      <c r="O16" t="s">
        <v>32</v>
      </c>
      <c r="P16" t="s">
        <v>329</v>
      </c>
      <c r="Q16" t="s">
        <v>32</v>
      </c>
      <c r="R16" t="s">
        <v>329</v>
      </c>
      <c r="S16" t="s">
        <v>329</v>
      </c>
      <c r="T16" t="s">
        <v>329</v>
      </c>
      <c r="U16" t="s">
        <v>329</v>
      </c>
      <c r="V16" t="s">
        <v>329</v>
      </c>
      <c r="W16" t="s">
        <v>717</v>
      </c>
      <c r="X16" t="s">
        <v>89</v>
      </c>
      <c r="Y16" t="s">
        <v>747</v>
      </c>
      <c r="Z16" t="s">
        <v>130</v>
      </c>
      <c r="AA16">
        <v>8</v>
      </c>
    </row>
    <row r="17" spans="1:27" x14ac:dyDescent="0.25">
      <c r="A17" t="s">
        <v>131</v>
      </c>
      <c r="B17" t="s">
        <v>29</v>
      </c>
      <c r="C17" t="s">
        <v>46</v>
      </c>
      <c r="D17" t="s">
        <v>31</v>
      </c>
      <c r="E17" t="s">
        <v>32</v>
      </c>
      <c r="F17" t="s">
        <v>721</v>
      </c>
      <c r="G17" t="s">
        <v>715</v>
      </c>
      <c r="H17" t="s">
        <v>717</v>
      </c>
      <c r="I17" t="s">
        <v>720</v>
      </c>
      <c r="J17" t="s">
        <v>32</v>
      </c>
      <c r="K17" t="s">
        <v>132</v>
      </c>
      <c r="L17" t="s">
        <v>43</v>
      </c>
      <c r="M17" t="s">
        <v>133</v>
      </c>
      <c r="N17">
        <v>7</v>
      </c>
      <c r="O17" t="s">
        <v>32</v>
      </c>
      <c r="P17" t="s">
        <v>717</v>
      </c>
      <c r="Q17" t="s">
        <v>32</v>
      </c>
      <c r="R17" t="s">
        <v>32</v>
      </c>
      <c r="S17" t="s">
        <v>717</v>
      </c>
      <c r="T17" t="s">
        <v>717</v>
      </c>
      <c r="U17" t="s">
        <v>717</v>
      </c>
      <c r="V17" t="s">
        <v>717</v>
      </c>
      <c r="W17" t="s">
        <v>717</v>
      </c>
      <c r="X17" t="s">
        <v>89</v>
      </c>
      <c r="Y17" t="s">
        <v>32</v>
      </c>
      <c r="Z17" t="s">
        <v>134</v>
      </c>
      <c r="AA17">
        <v>5</v>
      </c>
    </row>
    <row r="18" spans="1:27" x14ac:dyDescent="0.25">
      <c r="A18" t="s">
        <v>135</v>
      </c>
      <c r="B18" t="s">
        <v>29</v>
      </c>
      <c r="C18" t="s">
        <v>46</v>
      </c>
      <c r="D18" t="s">
        <v>31</v>
      </c>
      <c r="E18" t="s">
        <v>329</v>
      </c>
      <c r="F18" t="s">
        <v>721</v>
      </c>
      <c r="G18" t="s">
        <v>719</v>
      </c>
      <c r="H18" t="s">
        <v>329</v>
      </c>
      <c r="I18" t="s">
        <v>718</v>
      </c>
      <c r="J18" t="s">
        <v>32</v>
      </c>
      <c r="K18" t="s">
        <v>137</v>
      </c>
      <c r="L18" t="s">
        <v>39</v>
      </c>
      <c r="M18" t="s">
        <v>138</v>
      </c>
      <c r="N18">
        <v>8</v>
      </c>
      <c r="O18" t="s">
        <v>746</v>
      </c>
      <c r="P18" t="s">
        <v>329</v>
      </c>
      <c r="Q18" t="s">
        <v>329</v>
      </c>
      <c r="R18" t="s">
        <v>32</v>
      </c>
      <c r="S18" t="s">
        <v>32</v>
      </c>
      <c r="T18" t="s">
        <v>32</v>
      </c>
      <c r="U18" t="s">
        <v>329</v>
      </c>
      <c r="V18" t="s">
        <v>32</v>
      </c>
      <c r="W18" t="s">
        <v>369</v>
      </c>
      <c r="X18" t="s">
        <v>43</v>
      </c>
      <c r="Y18" t="s">
        <v>747</v>
      </c>
      <c r="Z18" t="s">
        <v>140</v>
      </c>
      <c r="AA18">
        <v>5</v>
      </c>
    </row>
    <row r="19" spans="1:27" x14ac:dyDescent="0.25">
      <c r="A19" t="s">
        <v>141</v>
      </c>
      <c r="B19" t="s">
        <v>84</v>
      </c>
      <c r="C19" t="s">
        <v>46</v>
      </c>
      <c r="D19" t="s">
        <v>31</v>
      </c>
      <c r="E19" t="s">
        <v>32</v>
      </c>
      <c r="F19" t="s">
        <v>728</v>
      </c>
      <c r="G19" t="s">
        <v>32</v>
      </c>
      <c r="H19" t="s">
        <v>32</v>
      </c>
      <c r="I19" t="s">
        <v>720</v>
      </c>
      <c r="J19" t="s">
        <v>329</v>
      </c>
      <c r="K19" t="s">
        <v>143</v>
      </c>
      <c r="L19" t="s">
        <v>39</v>
      </c>
      <c r="M19" t="s">
        <v>144</v>
      </c>
      <c r="N19">
        <v>10</v>
      </c>
      <c r="O19" t="s">
        <v>329</v>
      </c>
      <c r="P19" t="s">
        <v>32</v>
      </c>
      <c r="Q19" t="s">
        <v>32</v>
      </c>
      <c r="R19" t="s">
        <v>32</v>
      </c>
      <c r="S19" t="s">
        <v>32</v>
      </c>
      <c r="T19" t="s">
        <v>32</v>
      </c>
      <c r="U19" t="s">
        <v>32</v>
      </c>
      <c r="V19" t="s">
        <v>32</v>
      </c>
      <c r="W19" t="s">
        <v>32</v>
      </c>
      <c r="X19" t="s">
        <v>89</v>
      </c>
      <c r="Y19" t="s">
        <v>32</v>
      </c>
      <c r="Z19" t="s">
        <v>145</v>
      </c>
      <c r="AA19">
        <v>5</v>
      </c>
    </row>
    <row r="20" spans="1:27" x14ac:dyDescent="0.25">
      <c r="A20" t="s">
        <v>146</v>
      </c>
      <c r="B20" t="s">
        <v>29</v>
      </c>
      <c r="C20" t="s">
        <v>46</v>
      </c>
      <c r="D20" t="s">
        <v>147</v>
      </c>
      <c r="E20" t="s">
        <v>329</v>
      </c>
      <c r="F20" t="s">
        <v>721</v>
      </c>
      <c r="G20" t="s">
        <v>721</v>
      </c>
      <c r="H20" t="s">
        <v>329</v>
      </c>
      <c r="I20" t="s">
        <v>720</v>
      </c>
      <c r="J20" t="s">
        <v>329</v>
      </c>
      <c r="K20" t="s">
        <v>149</v>
      </c>
      <c r="L20" t="s">
        <v>43</v>
      </c>
      <c r="M20" t="s">
        <v>150</v>
      </c>
      <c r="N20">
        <v>4</v>
      </c>
      <c r="O20" t="s">
        <v>448</v>
      </c>
      <c r="P20" t="s">
        <v>329</v>
      </c>
      <c r="Q20" t="s">
        <v>329</v>
      </c>
      <c r="R20" t="s">
        <v>329</v>
      </c>
      <c r="S20" t="s">
        <v>32</v>
      </c>
      <c r="T20" t="s">
        <v>329</v>
      </c>
      <c r="U20" t="s">
        <v>32</v>
      </c>
      <c r="V20" t="s">
        <v>717</v>
      </c>
      <c r="W20" t="s">
        <v>717</v>
      </c>
      <c r="X20" t="s">
        <v>43</v>
      </c>
      <c r="Y20" t="s">
        <v>747</v>
      </c>
      <c r="Z20" t="s">
        <v>152</v>
      </c>
      <c r="AA20">
        <v>1</v>
      </c>
    </row>
    <row r="21" spans="1:27" x14ac:dyDescent="0.25">
      <c r="A21" t="s">
        <v>153</v>
      </c>
      <c r="B21" t="s">
        <v>84</v>
      </c>
      <c r="C21" t="s">
        <v>46</v>
      </c>
      <c r="D21" t="s">
        <v>31</v>
      </c>
      <c r="E21" t="s">
        <v>329</v>
      </c>
      <c r="F21" t="s">
        <v>329</v>
      </c>
      <c r="G21" t="s">
        <v>329</v>
      </c>
      <c r="H21" t="s">
        <v>329</v>
      </c>
      <c r="I21" t="s">
        <v>722</v>
      </c>
      <c r="J21" t="s">
        <v>329</v>
      </c>
      <c r="K21" t="s">
        <v>155</v>
      </c>
      <c r="L21" t="s">
        <v>39</v>
      </c>
      <c r="M21" t="s">
        <v>156</v>
      </c>
      <c r="N21">
        <v>4</v>
      </c>
      <c r="O21" t="s">
        <v>32</v>
      </c>
      <c r="P21" t="s">
        <v>329</v>
      </c>
      <c r="Q21" t="s">
        <v>329</v>
      </c>
      <c r="R21" t="s">
        <v>329</v>
      </c>
      <c r="S21" t="s">
        <v>329</v>
      </c>
      <c r="T21" t="s">
        <v>329</v>
      </c>
      <c r="U21" t="s">
        <v>329</v>
      </c>
      <c r="V21" t="s">
        <v>329</v>
      </c>
      <c r="W21" t="s">
        <v>329</v>
      </c>
      <c r="X21" t="s">
        <v>43</v>
      </c>
      <c r="Y21" t="s">
        <v>32</v>
      </c>
      <c r="Z21" t="s">
        <v>157</v>
      </c>
      <c r="AA21">
        <v>3</v>
      </c>
    </row>
    <row r="22" spans="1:27" x14ac:dyDescent="0.25">
      <c r="A22" t="s">
        <v>158</v>
      </c>
      <c r="B22" t="s">
        <v>29</v>
      </c>
      <c r="C22" t="s">
        <v>46</v>
      </c>
      <c r="D22" t="s">
        <v>435</v>
      </c>
      <c r="E22" t="s">
        <v>329</v>
      </c>
      <c r="F22" t="s">
        <v>724</v>
      </c>
      <c r="G22" t="s">
        <v>724</v>
      </c>
      <c r="H22" t="s">
        <v>329</v>
      </c>
      <c r="I22" t="s">
        <v>716</v>
      </c>
      <c r="J22" t="s">
        <v>329</v>
      </c>
      <c r="K22" t="s">
        <v>162</v>
      </c>
      <c r="L22" t="s">
        <v>39</v>
      </c>
      <c r="M22" t="s">
        <v>163</v>
      </c>
      <c r="N22">
        <v>7</v>
      </c>
      <c r="O22" t="s">
        <v>369</v>
      </c>
      <c r="P22" t="s">
        <v>329</v>
      </c>
      <c r="Q22" t="s">
        <v>329</v>
      </c>
      <c r="R22" t="s">
        <v>329</v>
      </c>
      <c r="S22" t="s">
        <v>329</v>
      </c>
      <c r="T22" t="s">
        <v>329</v>
      </c>
      <c r="U22" t="s">
        <v>369</v>
      </c>
      <c r="V22" t="s">
        <v>369</v>
      </c>
      <c r="W22" t="s">
        <v>369</v>
      </c>
      <c r="X22" t="s">
        <v>43</v>
      </c>
      <c r="Y22" t="s">
        <v>747</v>
      </c>
      <c r="Z22" t="s">
        <v>75</v>
      </c>
      <c r="AA22">
        <v>6</v>
      </c>
    </row>
    <row r="23" spans="1:27" x14ac:dyDescent="0.25">
      <c r="A23" t="s">
        <v>164</v>
      </c>
      <c r="B23" t="s">
        <v>29</v>
      </c>
      <c r="C23" t="s">
        <v>46</v>
      </c>
      <c r="D23" t="s">
        <v>165</v>
      </c>
      <c r="E23" t="s">
        <v>32</v>
      </c>
      <c r="F23" t="s">
        <v>329</v>
      </c>
      <c r="G23" t="s">
        <v>329</v>
      </c>
      <c r="H23" t="s">
        <v>329</v>
      </c>
      <c r="I23" t="s">
        <v>720</v>
      </c>
      <c r="J23" t="s">
        <v>329</v>
      </c>
      <c r="K23" t="s">
        <v>166</v>
      </c>
      <c r="L23" t="s">
        <v>39</v>
      </c>
      <c r="M23" t="s">
        <v>167</v>
      </c>
      <c r="N23">
        <v>10</v>
      </c>
      <c r="O23" t="s">
        <v>329</v>
      </c>
      <c r="P23" t="s">
        <v>329</v>
      </c>
      <c r="Q23" t="s">
        <v>369</v>
      </c>
      <c r="R23" t="s">
        <v>32</v>
      </c>
      <c r="S23" t="s">
        <v>329</v>
      </c>
      <c r="T23" t="s">
        <v>369</v>
      </c>
      <c r="U23" t="s">
        <v>329</v>
      </c>
      <c r="V23" t="s">
        <v>329</v>
      </c>
      <c r="W23" t="s">
        <v>369</v>
      </c>
      <c r="X23" t="s">
        <v>89</v>
      </c>
      <c r="Y23" t="s">
        <v>747</v>
      </c>
      <c r="Z23" t="s">
        <v>154</v>
      </c>
      <c r="AA23">
        <v>8</v>
      </c>
    </row>
    <row r="24" spans="1:27" x14ac:dyDescent="0.25">
      <c r="A24" t="s">
        <v>168</v>
      </c>
      <c r="B24" t="s">
        <v>29</v>
      </c>
      <c r="C24" t="s">
        <v>46</v>
      </c>
      <c r="D24" t="s">
        <v>31</v>
      </c>
      <c r="E24" t="s">
        <v>329</v>
      </c>
      <c r="F24" t="s">
        <v>719</v>
      </c>
      <c r="G24" t="s">
        <v>725</v>
      </c>
      <c r="H24" t="s">
        <v>329</v>
      </c>
      <c r="I24" t="s">
        <v>720</v>
      </c>
      <c r="J24" t="s">
        <v>369</v>
      </c>
      <c r="K24" t="s">
        <v>169</v>
      </c>
      <c r="L24" t="s">
        <v>39</v>
      </c>
      <c r="M24" t="s">
        <v>170</v>
      </c>
      <c r="N24">
        <v>10</v>
      </c>
      <c r="O24" t="s">
        <v>369</v>
      </c>
      <c r="P24" t="s">
        <v>329</v>
      </c>
      <c r="Q24" t="s">
        <v>329</v>
      </c>
      <c r="R24" t="s">
        <v>329</v>
      </c>
      <c r="S24" t="s">
        <v>329</v>
      </c>
      <c r="T24" t="s">
        <v>369</v>
      </c>
      <c r="U24" t="s">
        <v>369</v>
      </c>
      <c r="V24" t="s">
        <v>329</v>
      </c>
      <c r="W24" t="s">
        <v>369</v>
      </c>
      <c r="X24" t="s">
        <v>39</v>
      </c>
      <c r="Y24" t="s">
        <v>32</v>
      </c>
      <c r="Z24" t="s">
        <v>171</v>
      </c>
      <c r="AA24">
        <v>7</v>
      </c>
    </row>
    <row r="25" spans="1:27" x14ac:dyDescent="0.25">
      <c r="A25" t="s">
        <v>172</v>
      </c>
      <c r="B25" t="s">
        <v>29</v>
      </c>
      <c r="C25" t="s">
        <v>46</v>
      </c>
      <c r="D25" t="s">
        <v>173</v>
      </c>
      <c r="E25" t="s">
        <v>32</v>
      </c>
      <c r="F25" t="s">
        <v>32</v>
      </c>
      <c r="G25" t="s">
        <v>32</v>
      </c>
      <c r="H25" t="s">
        <v>32</v>
      </c>
      <c r="I25" t="s">
        <v>722</v>
      </c>
      <c r="J25" t="s">
        <v>32</v>
      </c>
      <c r="K25" t="s">
        <v>174</v>
      </c>
      <c r="L25" t="s">
        <v>39</v>
      </c>
      <c r="M25" t="s">
        <v>175</v>
      </c>
      <c r="N25">
        <v>9</v>
      </c>
      <c r="O25" t="s">
        <v>717</v>
      </c>
      <c r="P25" t="s">
        <v>717</v>
      </c>
      <c r="Q25" t="s">
        <v>717</v>
      </c>
      <c r="R25" t="s">
        <v>329</v>
      </c>
      <c r="S25" t="s">
        <v>717</v>
      </c>
      <c r="T25" t="s">
        <v>32</v>
      </c>
      <c r="U25" t="s">
        <v>32</v>
      </c>
      <c r="V25" t="s">
        <v>32</v>
      </c>
      <c r="W25" t="s">
        <v>329</v>
      </c>
      <c r="Y25" t="s">
        <v>329</v>
      </c>
      <c r="Z25" t="s">
        <v>176</v>
      </c>
      <c r="AA25">
        <v>9</v>
      </c>
    </row>
    <row r="26" spans="1:27" x14ac:dyDescent="0.25">
      <c r="A26" t="s">
        <v>177</v>
      </c>
      <c r="B26" t="s">
        <v>84</v>
      </c>
      <c r="C26" t="s">
        <v>46</v>
      </c>
      <c r="D26" t="s">
        <v>31</v>
      </c>
      <c r="E26" t="s">
        <v>329</v>
      </c>
      <c r="F26" t="s">
        <v>329</v>
      </c>
      <c r="G26" t="s">
        <v>329</v>
      </c>
      <c r="H26" t="s">
        <v>329</v>
      </c>
      <c r="I26" t="s">
        <v>720</v>
      </c>
      <c r="J26" t="s">
        <v>329</v>
      </c>
      <c r="K26" t="s">
        <v>178</v>
      </c>
      <c r="L26" t="s">
        <v>39</v>
      </c>
      <c r="M26" t="s">
        <v>179</v>
      </c>
      <c r="N26">
        <v>10</v>
      </c>
      <c r="O26" t="s">
        <v>32</v>
      </c>
      <c r="P26" t="s">
        <v>329</v>
      </c>
      <c r="Q26" t="s">
        <v>717</v>
      </c>
      <c r="R26" t="s">
        <v>32</v>
      </c>
      <c r="S26" t="s">
        <v>32</v>
      </c>
      <c r="T26" t="s">
        <v>329</v>
      </c>
      <c r="U26" t="s">
        <v>329</v>
      </c>
      <c r="V26" t="s">
        <v>329</v>
      </c>
      <c r="W26" t="s">
        <v>329</v>
      </c>
      <c r="X26" t="s">
        <v>43</v>
      </c>
      <c r="Y26" t="s">
        <v>747</v>
      </c>
      <c r="Z26" t="s">
        <v>180</v>
      </c>
      <c r="AA26">
        <v>1</v>
      </c>
    </row>
    <row r="27" spans="1:27" x14ac:dyDescent="0.25">
      <c r="A27" t="s">
        <v>181</v>
      </c>
      <c r="B27" t="s">
        <v>84</v>
      </c>
      <c r="C27" t="s">
        <v>46</v>
      </c>
      <c r="D27" t="s">
        <v>31</v>
      </c>
      <c r="E27" t="s">
        <v>329</v>
      </c>
      <c r="F27" t="s">
        <v>329</v>
      </c>
      <c r="G27" t="s">
        <v>329</v>
      </c>
      <c r="H27" t="s">
        <v>329</v>
      </c>
      <c r="I27" t="s">
        <v>716</v>
      </c>
      <c r="J27" t="s">
        <v>369</v>
      </c>
      <c r="K27" t="s">
        <v>183</v>
      </c>
      <c r="L27" t="s">
        <v>39</v>
      </c>
      <c r="M27" t="s">
        <v>184</v>
      </c>
      <c r="N27">
        <v>10</v>
      </c>
      <c r="O27" t="s">
        <v>32</v>
      </c>
      <c r="P27" t="s">
        <v>329</v>
      </c>
      <c r="Q27" t="s">
        <v>329</v>
      </c>
      <c r="R27" t="s">
        <v>32</v>
      </c>
      <c r="S27" t="s">
        <v>329</v>
      </c>
      <c r="T27" t="s">
        <v>329</v>
      </c>
      <c r="U27" t="s">
        <v>369</v>
      </c>
      <c r="V27" t="s">
        <v>32</v>
      </c>
      <c r="W27" t="s">
        <v>369</v>
      </c>
      <c r="X27" t="s">
        <v>39</v>
      </c>
      <c r="Y27" t="s">
        <v>329</v>
      </c>
      <c r="Z27" t="s">
        <v>185</v>
      </c>
      <c r="AA27">
        <v>6</v>
      </c>
    </row>
    <row r="28" spans="1:27" x14ac:dyDescent="0.25">
      <c r="A28" t="s">
        <v>186</v>
      </c>
      <c r="B28" t="s">
        <v>84</v>
      </c>
      <c r="C28" t="s">
        <v>46</v>
      </c>
      <c r="D28" t="s">
        <v>31</v>
      </c>
      <c r="E28" t="s">
        <v>329</v>
      </c>
      <c r="F28" t="s">
        <v>715</v>
      </c>
      <c r="G28" t="s">
        <v>32</v>
      </c>
      <c r="H28" t="s">
        <v>32</v>
      </c>
      <c r="I28" t="s">
        <v>716</v>
      </c>
      <c r="J28" t="s">
        <v>329</v>
      </c>
      <c r="K28" t="s">
        <v>187</v>
      </c>
      <c r="L28" t="s">
        <v>39</v>
      </c>
      <c r="M28" t="s">
        <v>188</v>
      </c>
      <c r="N28">
        <v>9</v>
      </c>
      <c r="O28" t="s">
        <v>329</v>
      </c>
      <c r="P28" t="s">
        <v>32</v>
      </c>
      <c r="Q28" t="s">
        <v>32</v>
      </c>
      <c r="R28" t="s">
        <v>329</v>
      </c>
      <c r="S28" t="s">
        <v>329</v>
      </c>
      <c r="T28" t="s">
        <v>32</v>
      </c>
      <c r="U28" t="s">
        <v>32</v>
      </c>
      <c r="V28" t="s">
        <v>32</v>
      </c>
      <c r="X28" t="s">
        <v>43</v>
      </c>
      <c r="Y28" t="s">
        <v>747</v>
      </c>
      <c r="Z28" t="s">
        <v>189</v>
      </c>
      <c r="AA28">
        <v>1</v>
      </c>
    </row>
    <row r="29" spans="1:27" x14ac:dyDescent="0.25">
      <c r="A29" t="s">
        <v>190</v>
      </c>
      <c r="B29" t="s">
        <v>29</v>
      </c>
      <c r="C29" t="s">
        <v>46</v>
      </c>
      <c r="D29" t="s">
        <v>31</v>
      </c>
      <c r="E29" t="s">
        <v>32</v>
      </c>
      <c r="F29" t="s">
        <v>727</v>
      </c>
      <c r="G29" t="s">
        <v>32</v>
      </c>
      <c r="H29" t="s">
        <v>32</v>
      </c>
      <c r="I29" t="s">
        <v>720</v>
      </c>
      <c r="J29" t="s">
        <v>32</v>
      </c>
      <c r="K29" t="s">
        <v>192</v>
      </c>
      <c r="L29" t="s">
        <v>39</v>
      </c>
      <c r="M29" t="s">
        <v>193</v>
      </c>
      <c r="N29">
        <v>4</v>
      </c>
      <c r="O29" t="s">
        <v>369</v>
      </c>
      <c r="P29" t="s">
        <v>32</v>
      </c>
      <c r="Q29" t="s">
        <v>32</v>
      </c>
      <c r="R29" t="s">
        <v>32</v>
      </c>
      <c r="S29" t="s">
        <v>32</v>
      </c>
      <c r="T29" t="s">
        <v>32</v>
      </c>
      <c r="U29" t="s">
        <v>32</v>
      </c>
      <c r="V29" t="s">
        <v>32</v>
      </c>
      <c r="W29" t="s">
        <v>32</v>
      </c>
      <c r="X29" t="s">
        <v>43</v>
      </c>
      <c r="Y29" t="s">
        <v>32</v>
      </c>
      <c r="Z29" t="s">
        <v>194</v>
      </c>
      <c r="AA29">
        <v>3</v>
      </c>
    </row>
    <row r="30" spans="1:27" x14ac:dyDescent="0.25">
      <c r="A30" t="s">
        <v>195</v>
      </c>
      <c r="B30" t="s">
        <v>84</v>
      </c>
      <c r="C30" t="s">
        <v>46</v>
      </c>
      <c r="D30" t="s">
        <v>748</v>
      </c>
      <c r="E30" t="s">
        <v>329</v>
      </c>
      <c r="F30" t="s">
        <v>329</v>
      </c>
      <c r="G30" t="s">
        <v>329</v>
      </c>
      <c r="H30" t="s">
        <v>329</v>
      </c>
      <c r="I30" t="s">
        <v>729</v>
      </c>
      <c r="J30" t="s">
        <v>329</v>
      </c>
      <c r="K30" t="s">
        <v>160</v>
      </c>
      <c r="L30" t="s">
        <v>39</v>
      </c>
      <c r="M30" t="s">
        <v>160</v>
      </c>
      <c r="N30">
        <v>1</v>
      </c>
      <c r="O30" t="s">
        <v>329</v>
      </c>
      <c r="P30" t="s">
        <v>329</v>
      </c>
      <c r="Q30" t="s">
        <v>329</v>
      </c>
      <c r="R30" t="s">
        <v>32</v>
      </c>
      <c r="S30" t="s">
        <v>329</v>
      </c>
      <c r="T30" t="s">
        <v>329</v>
      </c>
      <c r="U30" t="s">
        <v>329</v>
      </c>
      <c r="V30" t="s">
        <v>329</v>
      </c>
      <c r="W30" t="s">
        <v>329</v>
      </c>
      <c r="X30" t="s">
        <v>39</v>
      </c>
      <c r="Y30" t="s">
        <v>329</v>
      </c>
      <c r="Z30" t="s">
        <v>198</v>
      </c>
      <c r="AA30">
        <v>1</v>
      </c>
    </row>
    <row r="31" spans="1:27" x14ac:dyDescent="0.25">
      <c r="A31" t="s">
        <v>199</v>
      </c>
      <c r="B31" t="s">
        <v>29</v>
      </c>
      <c r="C31" t="s">
        <v>46</v>
      </c>
      <c r="D31" t="s">
        <v>31</v>
      </c>
      <c r="E31" t="s">
        <v>329</v>
      </c>
      <c r="F31" t="s">
        <v>721</v>
      </c>
      <c r="G31" t="s">
        <v>717</v>
      </c>
      <c r="H31" t="s">
        <v>717</v>
      </c>
      <c r="I31" t="s">
        <v>722</v>
      </c>
      <c r="J31" t="s">
        <v>329</v>
      </c>
      <c r="K31" t="s">
        <v>200</v>
      </c>
      <c r="L31" t="s">
        <v>39</v>
      </c>
      <c r="M31" t="s">
        <v>201</v>
      </c>
      <c r="N31">
        <v>8</v>
      </c>
      <c r="O31" t="s">
        <v>329</v>
      </c>
      <c r="P31" t="s">
        <v>717</v>
      </c>
      <c r="Q31" t="s">
        <v>717</v>
      </c>
      <c r="R31" t="s">
        <v>329</v>
      </c>
      <c r="S31" t="s">
        <v>329</v>
      </c>
      <c r="T31" t="s">
        <v>717</v>
      </c>
      <c r="U31" t="s">
        <v>717</v>
      </c>
      <c r="V31" t="s">
        <v>717</v>
      </c>
      <c r="W31" t="s">
        <v>329</v>
      </c>
      <c r="X31" t="s">
        <v>89</v>
      </c>
      <c r="Y31" t="s">
        <v>32</v>
      </c>
      <c r="Z31" t="s">
        <v>202</v>
      </c>
      <c r="AA31">
        <v>7</v>
      </c>
    </row>
    <row r="32" spans="1:27" x14ac:dyDescent="0.25">
      <c r="A32" t="s">
        <v>203</v>
      </c>
      <c r="B32" t="s">
        <v>84</v>
      </c>
      <c r="C32" t="s">
        <v>204</v>
      </c>
      <c r="D32" t="s">
        <v>31</v>
      </c>
      <c r="E32" t="s">
        <v>329</v>
      </c>
      <c r="F32" t="s">
        <v>329</v>
      </c>
      <c r="G32" t="s">
        <v>329</v>
      </c>
      <c r="H32" t="s">
        <v>329</v>
      </c>
      <c r="I32" t="s">
        <v>720</v>
      </c>
      <c r="J32" t="s">
        <v>329</v>
      </c>
      <c r="K32" t="s">
        <v>205</v>
      </c>
      <c r="L32" t="s">
        <v>39</v>
      </c>
      <c r="M32" t="s">
        <v>206</v>
      </c>
      <c r="N32">
        <v>9</v>
      </c>
      <c r="O32" t="s">
        <v>749</v>
      </c>
      <c r="P32" t="s">
        <v>329</v>
      </c>
      <c r="Q32" t="s">
        <v>329</v>
      </c>
      <c r="R32" t="s">
        <v>329</v>
      </c>
      <c r="S32" t="s">
        <v>329</v>
      </c>
      <c r="T32" t="s">
        <v>717</v>
      </c>
      <c r="U32" t="s">
        <v>329</v>
      </c>
      <c r="V32" t="s">
        <v>329</v>
      </c>
      <c r="W32" t="s">
        <v>329</v>
      </c>
      <c r="X32" t="s">
        <v>43</v>
      </c>
      <c r="Y32" t="s">
        <v>747</v>
      </c>
      <c r="Z32" t="s">
        <v>208</v>
      </c>
      <c r="AA32">
        <v>5</v>
      </c>
    </row>
    <row r="33" spans="1:27" x14ac:dyDescent="0.25">
      <c r="A33" t="s">
        <v>209</v>
      </c>
      <c r="B33" t="s">
        <v>84</v>
      </c>
      <c r="C33" t="s">
        <v>46</v>
      </c>
      <c r="D33" t="s">
        <v>31</v>
      </c>
      <c r="E33" t="s">
        <v>717</v>
      </c>
      <c r="F33" t="s">
        <v>717</v>
      </c>
      <c r="G33" t="s">
        <v>717</v>
      </c>
      <c r="H33" t="s">
        <v>717</v>
      </c>
      <c r="I33" t="s">
        <v>720</v>
      </c>
      <c r="J33" t="s">
        <v>329</v>
      </c>
      <c r="K33" t="s">
        <v>211</v>
      </c>
      <c r="L33" t="s">
        <v>39</v>
      </c>
      <c r="M33" t="s">
        <v>212</v>
      </c>
      <c r="N33">
        <v>8</v>
      </c>
      <c r="O33" t="s">
        <v>749</v>
      </c>
      <c r="P33" t="s">
        <v>717</v>
      </c>
      <c r="Q33" t="s">
        <v>717</v>
      </c>
      <c r="R33" t="s">
        <v>329</v>
      </c>
      <c r="S33" t="s">
        <v>717</v>
      </c>
      <c r="T33" t="s">
        <v>717</v>
      </c>
      <c r="U33" t="s">
        <v>717</v>
      </c>
      <c r="V33" t="s">
        <v>717</v>
      </c>
      <c r="W33" t="s">
        <v>717</v>
      </c>
      <c r="X33" t="s">
        <v>43</v>
      </c>
      <c r="Y33" t="s">
        <v>747</v>
      </c>
      <c r="Z33" t="s">
        <v>214</v>
      </c>
      <c r="AA33">
        <v>7</v>
      </c>
    </row>
    <row r="34" spans="1:27" x14ac:dyDescent="0.25">
      <c r="A34" t="s">
        <v>215</v>
      </c>
      <c r="B34" t="s">
        <v>29</v>
      </c>
      <c r="C34" t="s">
        <v>46</v>
      </c>
      <c r="D34" t="s">
        <v>31</v>
      </c>
      <c r="E34" t="s">
        <v>32</v>
      </c>
      <c r="F34" t="s">
        <v>728</v>
      </c>
      <c r="G34" t="s">
        <v>717</v>
      </c>
      <c r="H34" t="s">
        <v>717</v>
      </c>
      <c r="I34" t="s">
        <v>730</v>
      </c>
      <c r="J34" t="s">
        <v>717</v>
      </c>
      <c r="K34" t="s">
        <v>217</v>
      </c>
      <c r="L34" t="s">
        <v>39</v>
      </c>
      <c r="M34" t="s">
        <v>218</v>
      </c>
      <c r="N34">
        <v>1</v>
      </c>
      <c r="O34" t="s">
        <v>32</v>
      </c>
      <c r="P34" t="s">
        <v>717</v>
      </c>
      <c r="Q34" t="s">
        <v>32</v>
      </c>
      <c r="R34" t="s">
        <v>32</v>
      </c>
      <c r="S34" t="s">
        <v>717</v>
      </c>
      <c r="T34" t="s">
        <v>717</v>
      </c>
      <c r="U34" t="s">
        <v>329</v>
      </c>
      <c r="V34" t="s">
        <v>717</v>
      </c>
      <c r="W34" t="s">
        <v>329</v>
      </c>
      <c r="X34" t="s">
        <v>43</v>
      </c>
      <c r="Y34" t="s">
        <v>747</v>
      </c>
      <c r="Z34" t="s">
        <v>219</v>
      </c>
      <c r="AA34">
        <v>4</v>
      </c>
    </row>
    <row r="35" spans="1:27" x14ac:dyDescent="0.25">
      <c r="A35" t="s">
        <v>220</v>
      </c>
      <c r="B35" t="s">
        <v>84</v>
      </c>
      <c r="C35" t="s">
        <v>126</v>
      </c>
      <c r="D35" t="s">
        <v>31</v>
      </c>
      <c r="E35" t="s">
        <v>329</v>
      </c>
      <c r="F35" t="s">
        <v>329</v>
      </c>
      <c r="G35" t="s">
        <v>329</v>
      </c>
      <c r="H35" t="s">
        <v>329</v>
      </c>
      <c r="I35" t="s">
        <v>729</v>
      </c>
      <c r="J35" t="s">
        <v>32</v>
      </c>
      <c r="K35" t="s">
        <v>222</v>
      </c>
      <c r="L35" t="s">
        <v>39</v>
      </c>
      <c r="M35" t="s">
        <v>223</v>
      </c>
      <c r="N35">
        <v>10</v>
      </c>
      <c r="O35" t="s">
        <v>32</v>
      </c>
      <c r="P35" t="s">
        <v>329</v>
      </c>
      <c r="Q35" t="s">
        <v>329</v>
      </c>
      <c r="R35" t="s">
        <v>329</v>
      </c>
      <c r="S35" t="s">
        <v>329</v>
      </c>
      <c r="T35" t="s">
        <v>329</v>
      </c>
      <c r="U35" t="s">
        <v>329</v>
      </c>
      <c r="V35" t="s">
        <v>329</v>
      </c>
      <c r="W35" t="s">
        <v>329</v>
      </c>
      <c r="X35" t="s">
        <v>39</v>
      </c>
      <c r="Y35" t="s">
        <v>32</v>
      </c>
      <c r="Z35" t="s">
        <v>224</v>
      </c>
      <c r="AA35">
        <v>10</v>
      </c>
    </row>
    <row r="36" spans="1:27" x14ac:dyDescent="0.25">
      <c r="A36" t="s">
        <v>225</v>
      </c>
      <c r="B36" t="s">
        <v>29</v>
      </c>
      <c r="C36" t="s">
        <v>46</v>
      </c>
      <c r="D36" t="s">
        <v>750</v>
      </c>
      <c r="E36" t="s">
        <v>32</v>
      </c>
      <c r="F36" t="s">
        <v>723</v>
      </c>
      <c r="G36" t="s">
        <v>723</v>
      </c>
      <c r="H36" t="s">
        <v>32</v>
      </c>
      <c r="I36" t="s">
        <v>716</v>
      </c>
      <c r="J36" t="s">
        <v>329</v>
      </c>
      <c r="K36" t="s">
        <v>227</v>
      </c>
      <c r="L36" t="s">
        <v>39</v>
      </c>
      <c r="M36" t="s">
        <v>228</v>
      </c>
      <c r="N36">
        <v>7</v>
      </c>
      <c r="O36" t="s">
        <v>329</v>
      </c>
      <c r="P36" t="s">
        <v>32</v>
      </c>
      <c r="Q36" t="s">
        <v>32</v>
      </c>
      <c r="R36" t="s">
        <v>32</v>
      </c>
      <c r="S36" t="s">
        <v>329</v>
      </c>
      <c r="T36" t="s">
        <v>32</v>
      </c>
      <c r="U36" t="s">
        <v>329</v>
      </c>
      <c r="V36" t="s">
        <v>329</v>
      </c>
      <c r="W36" t="s">
        <v>369</v>
      </c>
      <c r="X36" t="s">
        <v>89</v>
      </c>
      <c r="Y36" t="s">
        <v>32</v>
      </c>
      <c r="Z36" t="s">
        <v>229</v>
      </c>
      <c r="AA36">
        <v>7</v>
      </c>
    </row>
    <row r="37" spans="1:27" x14ac:dyDescent="0.25">
      <c r="A37" t="s">
        <v>230</v>
      </c>
      <c r="B37" t="s">
        <v>84</v>
      </c>
      <c r="C37" t="s">
        <v>46</v>
      </c>
      <c r="D37" t="s">
        <v>31</v>
      </c>
      <c r="E37" t="s">
        <v>329</v>
      </c>
      <c r="F37" t="s">
        <v>725</v>
      </c>
      <c r="G37" t="s">
        <v>725</v>
      </c>
      <c r="H37" t="s">
        <v>329</v>
      </c>
      <c r="I37" t="s">
        <v>718</v>
      </c>
      <c r="J37" t="s">
        <v>329</v>
      </c>
      <c r="K37" t="s">
        <v>231</v>
      </c>
      <c r="L37" t="s">
        <v>39</v>
      </c>
      <c r="M37" t="s">
        <v>68</v>
      </c>
      <c r="N37">
        <v>5</v>
      </c>
      <c r="O37" t="s">
        <v>369</v>
      </c>
      <c r="P37" t="s">
        <v>329</v>
      </c>
      <c r="Q37" t="s">
        <v>329</v>
      </c>
      <c r="R37" t="s">
        <v>329</v>
      </c>
      <c r="S37" t="s">
        <v>329</v>
      </c>
      <c r="T37" t="s">
        <v>329</v>
      </c>
      <c r="U37" t="s">
        <v>329</v>
      </c>
      <c r="V37" t="s">
        <v>329</v>
      </c>
      <c r="W37" t="s">
        <v>369</v>
      </c>
      <c r="X37" t="s">
        <v>89</v>
      </c>
      <c r="Y37" t="s">
        <v>747</v>
      </c>
      <c r="Z37" t="s">
        <v>232</v>
      </c>
      <c r="AA37">
        <v>3</v>
      </c>
    </row>
    <row r="38" spans="1:27" x14ac:dyDescent="0.25">
      <c r="A38" t="s">
        <v>233</v>
      </c>
      <c r="B38" t="s">
        <v>29</v>
      </c>
      <c r="C38" t="s">
        <v>46</v>
      </c>
      <c r="D38" t="s">
        <v>751</v>
      </c>
      <c r="E38" t="s">
        <v>329</v>
      </c>
      <c r="F38" t="s">
        <v>329</v>
      </c>
      <c r="G38" t="s">
        <v>329</v>
      </c>
      <c r="H38" t="s">
        <v>329</v>
      </c>
      <c r="I38" t="s">
        <v>720</v>
      </c>
      <c r="J38" t="s">
        <v>329</v>
      </c>
      <c r="K38" t="s">
        <v>235</v>
      </c>
      <c r="L38" t="s">
        <v>43</v>
      </c>
      <c r="M38" t="s">
        <v>236</v>
      </c>
      <c r="N38">
        <v>1</v>
      </c>
      <c r="O38" t="s">
        <v>329</v>
      </c>
      <c r="P38" t="s">
        <v>329</v>
      </c>
      <c r="Q38" t="s">
        <v>717</v>
      </c>
      <c r="R38" t="s">
        <v>329</v>
      </c>
      <c r="S38" t="s">
        <v>329</v>
      </c>
      <c r="T38" t="s">
        <v>329</v>
      </c>
      <c r="U38" t="s">
        <v>329</v>
      </c>
      <c r="V38" t="s">
        <v>329</v>
      </c>
      <c r="W38" t="s">
        <v>329</v>
      </c>
      <c r="X38" t="s">
        <v>39</v>
      </c>
      <c r="Y38" t="s">
        <v>32</v>
      </c>
      <c r="Z38" t="s">
        <v>237</v>
      </c>
      <c r="AA38">
        <v>1</v>
      </c>
    </row>
    <row r="39" spans="1:27" x14ac:dyDescent="0.25">
      <c r="A39" t="s">
        <v>238</v>
      </c>
      <c r="B39" t="s">
        <v>84</v>
      </c>
      <c r="C39" t="s">
        <v>204</v>
      </c>
      <c r="D39" t="s">
        <v>31</v>
      </c>
      <c r="E39" t="s">
        <v>329</v>
      </c>
      <c r="F39" t="s">
        <v>329</v>
      </c>
      <c r="G39" t="s">
        <v>723</v>
      </c>
      <c r="H39" t="s">
        <v>329</v>
      </c>
      <c r="I39" t="s">
        <v>716</v>
      </c>
      <c r="J39" t="s">
        <v>32</v>
      </c>
      <c r="K39" t="s">
        <v>239</v>
      </c>
      <c r="L39" t="s">
        <v>39</v>
      </c>
      <c r="M39" t="s">
        <v>240</v>
      </c>
      <c r="N39">
        <v>5</v>
      </c>
      <c r="O39" t="s">
        <v>32</v>
      </c>
      <c r="P39" t="s">
        <v>329</v>
      </c>
      <c r="Q39" t="s">
        <v>717</v>
      </c>
      <c r="R39" t="s">
        <v>329</v>
      </c>
      <c r="S39" t="s">
        <v>329</v>
      </c>
      <c r="T39" t="s">
        <v>329</v>
      </c>
      <c r="U39" t="s">
        <v>329</v>
      </c>
      <c r="V39" t="s">
        <v>329</v>
      </c>
      <c r="W39" t="s">
        <v>329</v>
      </c>
      <c r="X39" t="s">
        <v>43</v>
      </c>
      <c r="Y39" t="s">
        <v>747</v>
      </c>
      <c r="Z39" t="s">
        <v>241</v>
      </c>
      <c r="AA39">
        <v>1</v>
      </c>
    </row>
    <row r="40" spans="1:27" x14ac:dyDescent="0.25">
      <c r="A40" t="s">
        <v>242</v>
      </c>
      <c r="B40" t="s">
        <v>84</v>
      </c>
      <c r="C40" t="s">
        <v>46</v>
      </c>
      <c r="D40" t="s">
        <v>31</v>
      </c>
      <c r="E40" t="s">
        <v>369</v>
      </c>
      <c r="F40" t="s">
        <v>721</v>
      </c>
      <c r="G40" t="s">
        <v>725</v>
      </c>
      <c r="H40" t="s">
        <v>369</v>
      </c>
      <c r="I40" t="s">
        <v>720</v>
      </c>
      <c r="J40" t="s">
        <v>369</v>
      </c>
      <c r="K40" t="s">
        <v>244</v>
      </c>
      <c r="L40" t="s">
        <v>39</v>
      </c>
      <c r="M40" t="s">
        <v>132</v>
      </c>
      <c r="N40">
        <v>9</v>
      </c>
      <c r="O40" t="s">
        <v>329</v>
      </c>
      <c r="P40" t="s">
        <v>369</v>
      </c>
      <c r="Q40" t="s">
        <v>369</v>
      </c>
      <c r="R40" t="s">
        <v>329</v>
      </c>
      <c r="S40" t="s">
        <v>369</v>
      </c>
      <c r="T40" t="s">
        <v>369</v>
      </c>
      <c r="U40" t="s">
        <v>329</v>
      </c>
      <c r="V40" t="s">
        <v>369</v>
      </c>
      <c r="W40" t="s">
        <v>369</v>
      </c>
      <c r="X40" t="s">
        <v>89</v>
      </c>
      <c r="Y40" t="s">
        <v>329</v>
      </c>
      <c r="Z40" t="s">
        <v>245</v>
      </c>
      <c r="AA40">
        <v>6</v>
      </c>
    </row>
    <row r="41" spans="1:27" x14ac:dyDescent="0.25">
      <c r="A41" t="s">
        <v>246</v>
      </c>
      <c r="B41" t="s">
        <v>29</v>
      </c>
      <c r="C41" t="s">
        <v>46</v>
      </c>
      <c r="D41" t="s">
        <v>31</v>
      </c>
      <c r="E41" t="s">
        <v>369</v>
      </c>
      <c r="F41" t="s">
        <v>369</v>
      </c>
      <c r="G41" t="s">
        <v>369</v>
      </c>
      <c r="H41" t="s">
        <v>369</v>
      </c>
      <c r="I41" t="s">
        <v>720</v>
      </c>
      <c r="J41" t="s">
        <v>369</v>
      </c>
      <c r="K41" t="s">
        <v>248</v>
      </c>
      <c r="L41" t="s">
        <v>39</v>
      </c>
      <c r="M41" t="s">
        <v>249</v>
      </c>
      <c r="N41">
        <v>10</v>
      </c>
      <c r="O41" t="s">
        <v>329</v>
      </c>
      <c r="P41" t="s">
        <v>369</v>
      </c>
      <c r="Q41" t="s">
        <v>369</v>
      </c>
      <c r="R41" t="s">
        <v>329</v>
      </c>
      <c r="S41" t="s">
        <v>369</v>
      </c>
      <c r="T41" t="s">
        <v>32</v>
      </c>
      <c r="U41" t="s">
        <v>369</v>
      </c>
      <c r="V41" t="s">
        <v>369</v>
      </c>
      <c r="W41" t="s">
        <v>369</v>
      </c>
      <c r="X41" t="s">
        <v>39</v>
      </c>
      <c r="Y41" t="s">
        <v>32</v>
      </c>
      <c r="Z41" t="s">
        <v>250</v>
      </c>
      <c r="AA41">
        <v>9</v>
      </c>
    </row>
    <row r="42" spans="1:27" x14ac:dyDescent="0.25">
      <c r="A42" t="s">
        <v>251</v>
      </c>
      <c r="B42" t="s">
        <v>84</v>
      </c>
      <c r="C42" t="s">
        <v>46</v>
      </c>
      <c r="D42" t="s">
        <v>31</v>
      </c>
      <c r="E42" t="s">
        <v>32</v>
      </c>
      <c r="F42" t="s">
        <v>32</v>
      </c>
      <c r="G42" t="s">
        <v>32</v>
      </c>
      <c r="H42" t="s">
        <v>32</v>
      </c>
      <c r="I42" t="s">
        <v>729</v>
      </c>
      <c r="J42" t="s">
        <v>32</v>
      </c>
      <c r="K42" t="s">
        <v>252</v>
      </c>
      <c r="L42" t="s">
        <v>39</v>
      </c>
      <c r="M42" t="s">
        <v>253</v>
      </c>
      <c r="N42">
        <v>8</v>
      </c>
      <c r="O42" t="s">
        <v>329</v>
      </c>
      <c r="P42" t="s">
        <v>32</v>
      </c>
      <c r="Q42" t="s">
        <v>32</v>
      </c>
      <c r="R42" t="s">
        <v>329</v>
      </c>
      <c r="S42" t="s">
        <v>32</v>
      </c>
      <c r="T42" t="s">
        <v>329</v>
      </c>
      <c r="U42" t="s">
        <v>32</v>
      </c>
      <c r="V42" t="s">
        <v>32</v>
      </c>
      <c r="W42" t="s">
        <v>329</v>
      </c>
      <c r="X42" t="s">
        <v>43</v>
      </c>
      <c r="Y42" t="s">
        <v>32</v>
      </c>
      <c r="Z42" t="s">
        <v>254</v>
      </c>
      <c r="AA42">
        <v>5</v>
      </c>
    </row>
    <row r="43" spans="1:27" x14ac:dyDescent="0.25">
      <c r="A43" t="s">
        <v>255</v>
      </c>
      <c r="B43" t="s">
        <v>29</v>
      </c>
      <c r="C43" t="s">
        <v>46</v>
      </c>
      <c r="D43" t="s">
        <v>31</v>
      </c>
      <c r="E43" t="s">
        <v>329</v>
      </c>
      <c r="F43" t="s">
        <v>329</v>
      </c>
      <c r="G43" t="s">
        <v>329</v>
      </c>
      <c r="H43" t="s">
        <v>329</v>
      </c>
      <c r="I43" t="s">
        <v>720</v>
      </c>
      <c r="J43" t="s">
        <v>717</v>
      </c>
      <c r="K43" t="s">
        <v>256</v>
      </c>
      <c r="L43" t="s">
        <v>39</v>
      </c>
      <c r="M43" t="s">
        <v>257</v>
      </c>
      <c r="N43">
        <v>1</v>
      </c>
      <c r="O43" t="s">
        <v>32</v>
      </c>
      <c r="P43" t="s">
        <v>329</v>
      </c>
      <c r="Q43" t="s">
        <v>329</v>
      </c>
      <c r="R43" t="s">
        <v>329</v>
      </c>
      <c r="S43" t="s">
        <v>329</v>
      </c>
      <c r="T43" t="s">
        <v>329</v>
      </c>
      <c r="U43" t="s">
        <v>329</v>
      </c>
      <c r="V43" t="s">
        <v>329</v>
      </c>
      <c r="W43" t="s">
        <v>329</v>
      </c>
      <c r="X43" t="s">
        <v>39</v>
      </c>
      <c r="Y43" t="s">
        <v>32</v>
      </c>
      <c r="Z43" t="s">
        <v>258</v>
      </c>
      <c r="AA43">
        <v>3</v>
      </c>
    </row>
    <row r="44" spans="1:27" x14ac:dyDescent="0.25">
      <c r="A44" t="s">
        <v>259</v>
      </c>
      <c r="B44" t="s">
        <v>29</v>
      </c>
      <c r="C44" t="s">
        <v>46</v>
      </c>
      <c r="D44" t="s">
        <v>31</v>
      </c>
      <c r="E44" t="s">
        <v>329</v>
      </c>
      <c r="F44" t="s">
        <v>329</v>
      </c>
      <c r="G44" t="s">
        <v>721</v>
      </c>
      <c r="H44" t="s">
        <v>329</v>
      </c>
      <c r="I44" t="s">
        <v>720</v>
      </c>
      <c r="J44" t="s">
        <v>32</v>
      </c>
      <c r="K44" t="s">
        <v>260</v>
      </c>
      <c r="L44" t="s">
        <v>39</v>
      </c>
      <c r="M44" t="s">
        <v>261</v>
      </c>
      <c r="N44">
        <v>10</v>
      </c>
      <c r="O44" t="s">
        <v>32</v>
      </c>
      <c r="P44" t="s">
        <v>329</v>
      </c>
      <c r="Q44" t="s">
        <v>329</v>
      </c>
      <c r="R44" t="s">
        <v>32</v>
      </c>
      <c r="S44" t="s">
        <v>329</v>
      </c>
      <c r="T44" t="s">
        <v>329</v>
      </c>
      <c r="U44" t="s">
        <v>329</v>
      </c>
      <c r="V44" t="s">
        <v>329</v>
      </c>
      <c r="W44" t="s">
        <v>329</v>
      </c>
      <c r="X44" t="s">
        <v>39</v>
      </c>
      <c r="Y44" t="s">
        <v>329</v>
      </c>
      <c r="Z44" t="s">
        <v>262</v>
      </c>
      <c r="AA44">
        <v>10</v>
      </c>
    </row>
    <row r="45" spans="1:27" x14ac:dyDescent="0.25">
      <c r="A45" t="s">
        <v>263</v>
      </c>
      <c r="B45" t="s">
        <v>29</v>
      </c>
      <c r="C45" t="s">
        <v>204</v>
      </c>
      <c r="D45" t="s">
        <v>31</v>
      </c>
      <c r="E45" t="s">
        <v>329</v>
      </c>
      <c r="F45" t="s">
        <v>329</v>
      </c>
      <c r="G45" t="s">
        <v>329</v>
      </c>
      <c r="H45" t="s">
        <v>329</v>
      </c>
      <c r="I45" t="s">
        <v>720</v>
      </c>
      <c r="J45" t="s">
        <v>32</v>
      </c>
      <c r="K45" t="s">
        <v>264</v>
      </c>
      <c r="L45" t="s">
        <v>39</v>
      </c>
      <c r="M45" t="s">
        <v>265</v>
      </c>
      <c r="N45">
        <v>9</v>
      </c>
      <c r="O45" t="s">
        <v>32</v>
      </c>
      <c r="P45" t="s">
        <v>329</v>
      </c>
      <c r="Q45" t="s">
        <v>32</v>
      </c>
      <c r="R45" t="s">
        <v>329</v>
      </c>
      <c r="S45" t="s">
        <v>329</v>
      </c>
      <c r="T45" t="s">
        <v>329</v>
      </c>
      <c r="U45" t="s">
        <v>32</v>
      </c>
      <c r="V45" t="s">
        <v>329</v>
      </c>
      <c r="W45" t="s">
        <v>32</v>
      </c>
      <c r="X45" t="s">
        <v>43</v>
      </c>
      <c r="Y45" t="s">
        <v>747</v>
      </c>
      <c r="Z45" t="s">
        <v>266</v>
      </c>
      <c r="AA45">
        <v>5</v>
      </c>
    </row>
    <row r="46" spans="1:27" x14ac:dyDescent="0.25">
      <c r="A46" t="s">
        <v>267</v>
      </c>
      <c r="B46" t="s">
        <v>84</v>
      </c>
      <c r="C46" t="s">
        <v>126</v>
      </c>
      <c r="D46" t="s">
        <v>31</v>
      </c>
      <c r="E46" t="s">
        <v>32</v>
      </c>
      <c r="F46" t="s">
        <v>723</v>
      </c>
      <c r="G46" t="s">
        <v>723</v>
      </c>
      <c r="H46" t="s">
        <v>32</v>
      </c>
      <c r="I46" t="s">
        <v>720</v>
      </c>
      <c r="J46" t="s">
        <v>329</v>
      </c>
      <c r="K46" t="s">
        <v>269</v>
      </c>
      <c r="L46" t="s">
        <v>39</v>
      </c>
      <c r="M46" t="s">
        <v>270</v>
      </c>
      <c r="N46">
        <v>8</v>
      </c>
      <c r="O46" t="s">
        <v>329</v>
      </c>
      <c r="P46" t="s">
        <v>32</v>
      </c>
      <c r="Q46" t="s">
        <v>32</v>
      </c>
      <c r="R46" t="s">
        <v>32</v>
      </c>
      <c r="S46" t="s">
        <v>32</v>
      </c>
      <c r="T46" t="s">
        <v>32</v>
      </c>
      <c r="U46" t="s">
        <v>32</v>
      </c>
      <c r="V46" t="s">
        <v>32</v>
      </c>
      <c r="X46" t="s">
        <v>89</v>
      </c>
      <c r="Y46" t="s">
        <v>747</v>
      </c>
      <c r="Z46" t="s">
        <v>271</v>
      </c>
      <c r="AA46">
        <v>6</v>
      </c>
    </row>
    <row r="47" spans="1:27" x14ac:dyDescent="0.25">
      <c r="A47" t="s">
        <v>259</v>
      </c>
      <c r="B47" t="s">
        <v>29</v>
      </c>
      <c r="C47" t="s">
        <v>46</v>
      </c>
      <c r="D47" t="s">
        <v>31</v>
      </c>
      <c r="E47" t="s">
        <v>329</v>
      </c>
      <c r="F47" t="s">
        <v>723</v>
      </c>
      <c r="G47" t="s">
        <v>723</v>
      </c>
      <c r="H47" t="s">
        <v>329</v>
      </c>
      <c r="I47" t="s">
        <v>720</v>
      </c>
      <c r="J47" t="s">
        <v>32</v>
      </c>
      <c r="K47" t="s">
        <v>272</v>
      </c>
      <c r="L47" t="s">
        <v>39</v>
      </c>
      <c r="M47" t="s">
        <v>273</v>
      </c>
      <c r="N47">
        <v>10</v>
      </c>
      <c r="O47" t="s">
        <v>746</v>
      </c>
      <c r="P47" t="s">
        <v>329</v>
      </c>
      <c r="Q47" t="s">
        <v>32</v>
      </c>
      <c r="R47" t="s">
        <v>32</v>
      </c>
      <c r="S47" t="s">
        <v>32</v>
      </c>
      <c r="T47" t="s">
        <v>32</v>
      </c>
      <c r="U47" t="s">
        <v>329</v>
      </c>
      <c r="V47" t="s">
        <v>32</v>
      </c>
      <c r="W47" t="s">
        <v>32</v>
      </c>
      <c r="X47" t="s">
        <v>89</v>
      </c>
      <c r="Y47" t="s">
        <v>747</v>
      </c>
      <c r="Z47" t="s">
        <v>275</v>
      </c>
      <c r="AA47">
        <v>1</v>
      </c>
    </row>
    <row r="48" spans="1:27" x14ac:dyDescent="0.25">
      <c r="A48" t="s">
        <v>276</v>
      </c>
      <c r="B48" t="s">
        <v>29</v>
      </c>
      <c r="C48" t="s">
        <v>46</v>
      </c>
      <c r="D48" t="s">
        <v>31</v>
      </c>
      <c r="E48" t="s">
        <v>32</v>
      </c>
      <c r="F48" t="s">
        <v>723</v>
      </c>
      <c r="G48" t="s">
        <v>723</v>
      </c>
      <c r="H48" t="s">
        <v>32</v>
      </c>
      <c r="I48" t="s">
        <v>720</v>
      </c>
      <c r="J48" t="s">
        <v>717</v>
      </c>
      <c r="K48" t="s">
        <v>277</v>
      </c>
      <c r="L48" t="s">
        <v>39</v>
      </c>
      <c r="M48" t="s">
        <v>278</v>
      </c>
      <c r="N48">
        <v>10</v>
      </c>
      <c r="O48" t="s">
        <v>329</v>
      </c>
      <c r="P48" t="s">
        <v>32</v>
      </c>
      <c r="Q48" t="s">
        <v>32</v>
      </c>
      <c r="R48" t="s">
        <v>32</v>
      </c>
      <c r="S48" t="s">
        <v>32</v>
      </c>
      <c r="T48" t="s">
        <v>32</v>
      </c>
      <c r="U48" t="s">
        <v>32</v>
      </c>
      <c r="V48" t="s">
        <v>369</v>
      </c>
      <c r="W48" t="s">
        <v>717</v>
      </c>
      <c r="X48" t="s">
        <v>43</v>
      </c>
      <c r="Y48" t="s">
        <v>747</v>
      </c>
      <c r="Z48" t="s">
        <v>279</v>
      </c>
      <c r="AA48">
        <v>5</v>
      </c>
    </row>
    <row r="49" spans="1:27" x14ac:dyDescent="0.25">
      <c r="A49" t="s">
        <v>280</v>
      </c>
      <c r="B49" t="s">
        <v>29</v>
      </c>
      <c r="C49" t="s">
        <v>204</v>
      </c>
      <c r="D49" t="s">
        <v>31</v>
      </c>
      <c r="E49" t="s">
        <v>32</v>
      </c>
      <c r="F49" t="s">
        <v>723</v>
      </c>
      <c r="G49" t="s">
        <v>723</v>
      </c>
      <c r="H49" t="s">
        <v>32</v>
      </c>
      <c r="I49" t="s">
        <v>720</v>
      </c>
      <c r="J49" t="s">
        <v>329</v>
      </c>
      <c r="K49" t="s">
        <v>282</v>
      </c>
      <c r="L49" t="s">
        <v>39</v>
      </c>
      <c r="M49" t="s">
        <v>283</v>
      </c>
      <c r="N49">
        <v>10</v>
      </c>
      <c r="O49" t="s">
        <v>329</v>
      </c>
      <c r="P49" t="s">
        <v>32</v>
      </c>
      <c r="Q49" t="s">
        <v>32</v>
      </c>
      <c r="R49" t="s">
        <v>32</v>
      </c>
      <c r="S49" t="s">
        <v>32</v>
      </c>
      <c r="T49" t="s">
        <v>32</v>
      </c>
      <c r="U49" t="s">
        <v>32</v>
      </c>
      <c r="V49" t="s">
        <v>32</v>
      </c>
      <c r="W49" t="s">
        <v>32</v>
      </c>
      <c r="X49" t="s">
        <v>39</v>
      </c>
      <c r="Y49" t="s">
        <v>32</v>
      </c>
      <c r="Z49" t="s">
        <v>284</v>
      </c>
      <c r="AA49">
        <v>6</v>
      </c>
    </row>
    <row r="50" spans="1:27" x14ac:dyDescent="0.25">
      <c r="A50" t="s">
        <v>285</v>
      </c>
      <c r="B50" t="s">
        <v>29</v>
      </c>
      <c r="C50" t="s">
        <v>46</v>
      </c>
      <c r="D50" t="s">
        <v>31</v>
      </c>
      <c r="E50" t="s">
        <v>32</v>
      </c>
      <c r="F50" t="s">
        <v>723</v>
      </c>
      <c r="G50" t="s">
        <v>723</v>
      </c>
      <c r="H50" t="s">
        <v>32</v>
      </c>
      <c r="I50" t="s">
        <v>720</v>
      </c>
      <c r="J50" t="s">
        <v>329</v>
      </c>
      <c r="K50" t="s">
        <v>286</v>
      </c>
      <c r="L50" t="s">
        <v>39</v>
      </c>
      <c r="M50" t="s">
        <v>287</v>
      </c>
      <c r="N50">
        <v>8</v>
      </c>
      <c r="O50" t="s">
        <v>746</v>
      </c>
      <c r="P50" t="s">
        <v>32</v>
      </c>
      <c r="Q50" t="s">
        <v>329</v>
      </c>
      <c r="R50" t="s">
        <v>32</v>
      </c>
      <c r="S50" t="s">
        <v>32</v>
      </c>
      <c r="T50" t="s">
        <v>32</v>
      </c>
      <c r="U50" t="s">
        <v>32</v>
      </c>
      <c r="V50" t="s">
        <v>32</v>
      </c>
      <c r="W50" t="s">
        <v>32</v>
      </c>
      <c r="X50" t="s">
        <v>39</v>
      </c>
      <c r="Y50" t="s">
        <v>329</v>
      </c>
      <c r="Z50" t="s">
        <v>174</v>
      </c>
      <c r="AA50">
        <v>3</v>
      </c>
    </row>
    <row r="51" spans="1:27" x14ac:dyDescent="0.25">
      <c r="A51" t="s">
        <v>289</v>
      </c>
      <c r="B51" t="s">
        <v>84</v>
      </c>
      <c r="C51" t="s">
        <v>46</v>
      </c>
      <c r="D51" t="s">
        <v>31</v>
      </c>
      <c r="E51" t="s">
        <v>32</v>
      </c>
      <c r="F51" t="s">
        <v>32</v>
      </c>
      <c r="G51" t="s">
        <v>32</v>
      </c>
      <c r="H51" t="s">
        <v>32</v>
      </c>
      <c r="I51" t="s">
        <v>718</v>
      </c>
      <c r="J51" t="s">
        <v>717</v>
      </c>
      <c r="K51" t="s">
        <v>290</v>
      </c>
      <c r="L51" t="s">
        <v>39</v>
      </c>
      <c r="M51" t="s">
        <v>291</v>
      </c>
      <c r="N51">
        <v>7</v>
      </c>
      <c r="O51" t="s">
        <v>32</v>
      </c>
      <c r="P51" t="s">
        <v>329</v>
      </c>
      <c r="Q51" t="s">
        <v>32</v>
      </c>
      <c r="R51" t="s">
        <v>32</v>
      </c>
      <c r="S51" t="s">
        <v>32</v>
      </c>
      <c r="T51" t="s">
        <v>32</v>
      </c>
      <c r="U51" t="s">
        <v>329</v>
      </c>
      <c r="V51" t="s">
        <v>32</v>
      </c>
      <c r="W51" t="s">
        <v>32</v>
      </c>
      <c r="X51" t="s">
        <v>39</v>
      </c>
      <c r="Y51" t="s">
        <v>32</v>
      </c>
      <c r="Z51" t="s">
        <v>292</v>
      </c>
      <c r="AA51">
        <v>3</v>
      </c>
    </row>
    <row r="52" spans="1:27" x14ac:dyDescent="0.25">
      <c r="A52" t="s">
        <v>293</v>
      </c>
      <c r="B52" t="s">
        <v>29</v>
      </c>
      <c r="C52" t="s">
        <v>46</v>
      </c>
      <c r="D52" t="s">
        <v>31</v>
      </c>
      <c r="E52" t="s">
        <v>717</v>
      </c>
      <c r="F52" t="s">
        <v>728</v>
      </c>
      <c r="G52" t="s">
        <v>717</v>
      </c>
      <c r="H52" t="s">
        <v>717</v>
      </c>
      <c r="I52" t="s">
        <v>722</v>
      </c>
      <c r="J52" t="s">
        <v>32</v>
      </c>
      <c r="K52" t="s">
        <v>294</v>
      </c>
      <c r="L52" t="s">
        <v>39</v>
      </c>
      <c r="M52" t="s">
        <v>295</v>
      </c>
      <c r="N52">
        <v>3</v>
      </c>
      <c r="O52" t="s">
        <v>32</v>
      </c>
      <c r="P52" t="s">
        <v>32</v>
      </c>
      <c r="Q52" t="s">
        <v>717</v>
      </c>
      <c r="R52" t="s">
        <v>32</v>
      </c>
      <c r="S52" t="s">
        <v>32</v>
      </c>
      <c r="T52" t="s">
        <v>717</v>
      </c>
      <c r="U52" t="s">
        <v>717</v>
      </c>
      <c r="V52" t="s">
        <v>717</v>
      </c>
      <c r="W52" t="s">
        <v>369</v>
      </c>
      <c r="X52" t="s">
        <v>43</v>
      </c>
      <c r="Y52" t="s">
        <v>747</v>
      </c>
      <c r="Z52" t="s">
        <v>296</v>
      </c>
      <c r="AA52">
        <v>1</v>
      </c>
    </row>
    <row r="53" spans="1:27" x14ac:dyDescent="0.25">
      <c r="A53" t="s">
        <v>52</v>
      </c>
      <c r="B53" t="s">
        <v>29</v>
      </c>
      <c r="C53" t="s">
        <v>46</v>
      </c>
      <c r="D53" t="s">
        <v>31</v>
      </c>
      <c r="E53" t="s">
        <v>32</v>
      </c>
      <c r="F53" t="s">
        <v>717</v>
      </c>
      <c r="G53" t="s">
        <v>717</v>
      </c>
      <c r="H53" t="s">
        <v>717</v>
      </c>
      <c r="I53" t="s">
        <v>730</v>
      </c>
      <c r="J53" t="s">
        <v>32</v>
      </c>
      <c r="K53" t="s">
        <v>297</v>
      </c>
      <c r="L53" t="s">
        <v>39</v>
      </c>
      <c r="M53" t="s">
        <v>74</v>
      </c>
      <c r="N53">
        <v>10</v>
      </c>
      <c r="O53" t="s">
        <v>752</v>
      </c>
      <c r="P53" t="s">
        <v>717</v>
      </c>
      <c r="Q53" t="s">
        <v>717</v>
      </c>
      <c r="R53" t="s">
        <v>32</v>
      </c>
      <c r="S53" t="s">
        <v>717</v>
      </c>
      <c r="T53" t="s">
        <v>717</v>
      </c>
      <c r="U53" t="s">
        <v>32</v>
      </c>
      <c r="V53" t="s">
        <v>717</v>
      </c>
      <c r="W53" t="s">
        <v>717</v>
      </c>
      <c r="X53" t="s">
        <v>39</v>
      </c>
      <c r="Y53" t="s">
        <v>32</v>
      </c>
      <c r="Z53" t="s">
        <v>299</v>
      </c>
      <c r="AA53">
        <v>10</v>
      </c>
    </row>
    <row r="54" spans="1:27" x14ac:dyDescent="0.25">
      <c r="A54" t="s">
        <v>300</v>
      </c>
      <c r="B54" t="s">
        <v>29</v>
      </c>
      <c r="C54" t="s">
        <v>46</v>
      </c>
      <c r="D54" t="s">
        <v>31</v>
      </c>
      <c r="E54" t="s">
        <v>329</v>
      </c>
      <c r="F54" t="s">
        <v>715</v>
      </c>
      <c r="G54" t="s">
        <v>726</v>
      </c>
      <c r="H54" t="s">
        <v>329</v>
      </c>
      <c r="I54" t="s">
        <v>716</v>
      </c>
      <c r="J54" t="s">
        <v>32</v>
      </c>
      <c r="K54" t="s">
        <v>303</v>
      </c>
      <c r="L54" t="s">
        <v>39</v>
      </c>
      <c r="M54" t="s">
        <v>304</v>
      </c>
      <c r="N54">
        <v>9</v>
      </c>
      <c r="O54" t="s">
        <v>369</v>
      </c>
      <c r="P54" t="s">
        <v>369</v>
      </c>
      <c r="Q54" t="s">
        <v>329</v>
      </c>
      <c r="R54" t="s">
        <v>329</v>
      </c>
      <c r="S54" t="s">
        <v>329</v>
      </c>
      <c r="T54" t="s">
        <v>369</v>
      </c>
      <c r="U54" t="s">
        <v>329</v>
      </c>
      <c r="V54" t="s">
        <v>369</v>
      </c>
      <c r="W54" t="s">
        <v>369</v>
      </c>
      <c r="X54" t="s">
        <v>39</v>
      </c>
      <c r="Y54" t="s">
        <v>32</v>
      </c>
      <c r="Z54" t="s">
        <v>305</v>
      </c>
      <c r="AA54">
        <v>9</v>
      </c>
    </row>
    <row r="55" spans="1:27" x14ac:dyDescent="0.25">
      <c r="A55" t="s">
        <v>306</v>
      </c>
      <c r="B55" t="s">
        <v>84</v>
      </c>
      <c r="C55" t="s">
        <v>126</v>
      </c>
      <c r="D55" t="s">
        <v>31</v>
      </c>
      <c r="E55" t="s">
        <v>32</v>
      </c>
      <c r="F55" t="s">
        <v>32</v>
      </c>
      <c r="G55" t="s">
        <v>728</v>
      </c>
      <c r="H55" t="s">
        <v>32</v>
      </c>
      <c r="I55" t="s">
        <v>716</v>
      </c>
      <c r="J55" t="s">
        <v>32</v>
      </c>
      <c r="K55" t="s">
        <v>308</v>
      </c>
      <c r="L55" t="s">
        <v>39</v>
      </c>
      <c r="M55" t="s">
        <v>309</v>
      </c>
      <c r="N55">
        <v>10</v>
      </c>
      <c r="O55" t="s">
        <v>717</v>
      </c>
      <c r="P55" t="s">
        <v>32</v>
      </c>
      <c r="Q55" t="s">
        <v>32</v>
      </c>
      <c r="R55" t="s">
        <v>32</v>
      </c>
      <c r="S55" t="s">
        <v>32</v>
      </c>
      <c r="T55" t="s">
        <v>32</v>
      </c>
      <c r="U55" t="s">
        <v>32</v>
      </c>
      <c r="V55" t="s">
        <v>32</v>
      </c>
      <c r="W55" t="s">
        <v>32</v>
      </c>
      <c r="X55" t="s">
        <v>39</v>
      </c>
      <c r="Y55" t="s">
        <v>32</v>
      </c>
      <c r="Z55" t="s">
        <v>310</v>
      </c>
      <c r="AA55">
        <v>10</v>
      </c>
    </row>
    <row r="56" spans="1:27" x14ac:dyDescent="0.25">
      <c r="A56" t="s">
        <v>311</v>
      </c>
      <c r="B56" t="s">
        <v>29</v>
      </c>
      <c r="C56" t="s">
        <v>312</v>
      </c>
      <c r="D56" t="s">
        <v>31</v>
      </c>
      <c r="E56" t="s">
        <v>329</v>
      </c>
      <c r="F56" t="s">
        <v>329</v>
      </c>
      <c r="G56" t="s">
        <v>329</v>
      </c>
      <c r="H56" t="s">
        <v>329</v>
      </c>
      <c r="I56" t="s">
        <v>722</v>
      </c>
      <c r="J56" t="s">
        <v>329</v>
      </c>
      <c r="K56" t="s">
        <v>313</v>
      </c>
      <c r="L56" t="s">
        <v>39</v>
      </c>
      <c r="M56" t="s">
        <v>314</v>
      </c>
      <c r="N56">
        <v>5</v>
      </c>
      <c r="O56" t="s">
        <v>32</v>
      </c>
      <c r="P56" t="s">
        <v>329</v>
      </c>
      <c r="Q56" t="s">
        <v>329</v>
      </c>
      <c r="R56" t="s">
        <v>329</v>
      </c>
      <c r="S56" t="s">
        <v>329</v>
      </c>
      <c r="T56" t="s">
        <v>32</v>
      </c>
      <c r="U56" t="s">
        <v>329</v>
      </c>
      <c r="V56" t="s">
        <v>32</v>
      </c>
      <c r="W56" t="s">
        <v>32</v>
      </c>
      <c r="X56" t="s">
        <v>89</v>
      </c>
      <c r="Y56" t="s">
        <v>747</v>
      </c>
      <c r="Z56" t="s">
        <v>313</v>
      </c>
      <c r="AA56">
        <v>5</v>
      </c>
    </row>
    <row r="57" spans="1:27" x14ac:dyDescent="0.25">
      <c r="A57" t="s">
        <v>315</v>
      </c>
      <c r="B57" t="s">
        <v>84</v>
      </c>
      <c r="C57" t="s">
        <v>46</v>
      </c>
      <c r="D57" t="s">
        <v>31</v>
      </c>
      <c r="E57" t="s">
        <v>329</v>
      </c>
      <c r="F57" t="s">
        <v>717</v>
      </c>
      <c r="G57" t="s">
        <v>717</v>
      </c>
      <c r="H57" t="s">
        <v>717</v>
      </c>
      <c r="I57" t="s">
        <v>731</v>
      </c>
      <c r="J57" t="s">
        <v>329</v>
      </c>
      <c r="K57" t="s">
        <v>213</v>
      </c>
      <c r="L57" t="s">
        <v>43</v>
      </c>
      <c r="M57" t="s">
        <v>213</v>
      </c>
      <c r="N57">
        <v>2</v>
      </c>
      <c r="O57" t="s">
        <v>746</v>
      </c>
      <c r="P57" t="s">
        <v>32</v>
      </c>
      <c r="Q57" t="s">
        <v>32</v>
      </c>
      <c r="R57" t="s">
        <v>329</v>
      </c>
      <c r="S57" t="s">
        <v>329</v>
      </c>
      <c r="T57" t="s">
        <v>329</v>
      </c>
      <c r="U57" t="s">
        <v>329</v>
      </c>
      <c r="V57" t="s">
        <v>329</v>
      </c>
      <c r="W57" t="s">
        <v>329</v>
      </c>
      <c r="X57" t="s">
        <v>43</v>
      </c>
      <c r="Y57" t="s">
        <v>32</v>
      </c>
      <c r="Z57" t="s">
        <v>318</v>
      </c>
      <c r="AA57">
        <v>4</v>
      </c>
    </row>
    <row r="58" spans="1:27" x14ac:dyDescent="0.25">
      <c r="A58" t="s">
        <v>319</v>
      </c>
      <c r="B58" t="s">
        <v>84</v>
      </c>
      <c r="C58" t="s">
        <v>46</v>
      </c>
      <c r="D58" t="s">
        <v>31</v>
      </c>
      <c r="E58" t="s">
        <v>717</v>
      </c>
      <c r="F58" t="s">
        <v>717</v>
      </c>
      <c r="G58" t="s">
        <v>717</v>
      </c>
      <c r="H58" t="s">
        <v>717</v>
      </c>
      <c r="I58" t="s">
        <v>731</v>
      </c>
      <c r="J58" t="s">
        <v>32</v>
      </c>
      <c r="K58" t="s">
        <v>320</v>
      </c>
      <c r="L58" t="s">
        <v>39</v>
      </c>
      <c r="M58" t="s">
        <v>321</v>
      </c>
      <c r="N58">
        <v>6</v>
      </c>
      <c r="O58" t="s">
        <v>369</v>
      </c>
      <c r="P58" t="s">
        <v>717</v>
      </c>
      <c r="Q58" t="s">
        <v>717</v>
      </c>
      <c r="R58" t="s">
        <v>329</v>
      </c>
      <c r="S58" t="s">
        <v>717</v>
      </c>
      <c r="T58" t="s">
        <v>717</v>
      </c>
      <c r="U58" t="s">
        <v>717</v>
      </c>
      <c r="V58" t="s">
        <v>329</v>
      </c>
      <c r="W58" t="s">
        <v>717</v>
      </c>
      <c r="X58" t="s">
        <v>43</v>
      </c>
      <c r="Y58" t="s">
        <v>747</v>
      </c>
      <c r="Z58" t="s">
        <v>322</v>
      </c>
      <c r="AA58">
        <v>3</v>
      </c>
    </row>
    <row r="59" spans="1:27" x14ac:dyDescent="0.25">
      <c r="A59" t="s">
        <v>323</v>
      </c>
      <c r="B59" t="s">
        <v>29</v>
      </c>
      <c r="C59" t="s">
        <v>46</v>
      </c>
      <c r="D59" t="s">
        <v>31</v>
      </c>
      <c r="E59" t="s">
        <v>369</v>
      </c>
      <c r="F59" t="s">
        <v>369</v>
      </c>
      <c r="G59" t="s">
        <v>369</v>
      </c>
      <c r="H59" t="s">
        <v>369</v>
      </c>
      <c r="I59" t="s">
        <v>720</v>
      </c>
      <c r="J59" t="s">
        <v>369</v>
      </c>
      <c r="K59" t="s">
        <v>325</v>
      </c>
      <c r="L59" t="s">
        <v>39</v>
      </c>
      <c r="M59" t="s">
        <v>326</v>
      </c>
      <c r="N59">
        <v>1</v>
      </c>
      <c r="O59" t="s">
        <v>369</v>
      </c>
      <c r="P59" t="s">
        <v>369</v>
      </c>
      <c r="Q59" t="s">
        <v>369</v>
      </c>
      <c r="R59" t="s">
        <v>369</v>
      </c>
      <c r="S59" t="s">
        <v>369</v>
      </c>
      <c r="T59" t="s">
        <v>369</v>
      </c>
      <c r="U59" t="s">
        <v>369</v>
      </c>
      <c r="V59" t="s">
        <v>369</v>
      </c>
      <c r="W59" t="s">
        <v>369</v>
      </c>
      <c r="X59" t="s">
        <v>89</v>
      </c>
      <c r="Y59" t="s">
        <v>747</v>
      </c>
      <c r="Z59" t="s">
        <v>327</v>
      </c>
      <c r="AA59">
        <v>10</v>
      </c>
    </row>
    <row r="60" spans="1:27" x14ac:dyDescent="0.25">
      <c r="A60" t="s">
        <v>328</v>
      </c>
      <c r="B60" t="s">
        <v>84</v>
      </c>
      <c r="C60" t="s">
        <v>46</v>
      </c>
      <c r="D60" t="s">
        <v>31</v>
      </c>
      <c r="E60" t="s">
        <v>329</v>
      </c>
      <c r="F60" t="s">
        <v>329</v>
      </c>
      <c r="G60" t="s">
        <v>329</v>
      </c>
      <c r="H60" t="s">
        <v>329</v>
      </c>
      <c r="I60" t="s">
        <v>720</v>
      </c>
      <c r="J60" t="s">
        <v>329</v>
      </c>
      <c r="K60" t="s">
        <v>330</v>
      </c>
      <c r="L60" t="s">
        <v>39</v>
      </c>
      <c r="M60" t="s">
        <v>331</v>
      </c>
      <c r="N60">
        <v>8</v>
      </c>
      <c r="O60" t="s">
        <v>369</v>
      </c>
      <c r="P60" t="s">
        <v>369</v>
      </c>
      <c r="Q60" t="s">
        <v>32</v>
      </c>
      <c r="R60" t="s">
        <v>329</v>
      </c>
      <c r="S60" t="s">
        <v>369</v>
      </c>
      <c r="T60" t="s">
        <v>369</v>
      </c>
      <c r="U60" t="s">
        <v>369</v>
      </c>
      <c r="V60" t="s">
        <v>329</v>
      </c>
      <c r="W60" t="s">
        <v>369</v>
      </c>
      <c r="X60" t="s">
        <v>39</v>
      </c>
      <c r="Y60" t="s">
        <v>32</v>
      </c>
      <c r="Z60" t="s">
        <v>332</v>
      </c>
      <c r="AA60">
        <v>9</v>
      </c>
    </row>
    <row r="61" spans="1:27" x14ac:dyDescent="0.25">
      <c r="A61" t="s">
        <v>333</v>
      </c>
      <c r="B61" t="s">
        <v>84</v>
      </c>
      <c r="C61" t="s">
        <v>46</v>
      </c>
      <c r="D61" t="s">
        <v>31</v>
      </c>
      <c r="E61" t="s">
        <v>32</v>
      </c>
      <c r="F61" t="s">
        <v>32</v>
      </c>
      <c r="G61" t="s">
        <v>32</v>
      </c>
      <c r="H61" t="s">
        <v>32</v>
      </c>
      <c r="I61" t="s">
        <v>718</v>
      </c>
      <c r="J61" t="s">
        <v>329</v>
      </c>
      <c r="K61" t="s">
        <v>334</v>
      </c>
      <c r="L61" t="s">
        <v>39</v>
      </c>
      <c r="M61" t="s">
        <v>335</v>
      </c>
      <c r="N61">
        <v>9</v>
      </c>
      <c r="O61" t="s">
        <v>329</v>
      </c>
      <c r="P61" t="s">
        <v>32</v>
      </c>
      <c r="Q61" t="s">
        <v>32</v>
      </c>
      <c r="R61" t="s">
        <v>32</v>
      </c>
      <c r="S61" t="s">
        <v>32</v>
      </c>
      <c r="T61" t="s">
        <v>717</v>
      </c>
      <c r="U61" t="s">
        <v>32</v>
      </c>
      <c r="V61" t="s">
        <v>32</v>
      </c>
      <c r="W61" t="s">
        <v>32</v>
      </c>
      <c r="X61" t="s">
        <v>39</v>
      </c>
      <c r="Y61" t="s">
        <v>32</v>
      </c>
      <c r="Z61" t="s">
        <v>336</v>
      </c>
      <c r="AA61">
        <v>9</v>
      </c>
    </row>
    <row r="62" spans="1:27" x14ac:dyDescent="0.25">
      <c r="A62" t="s">
        <v>337</v>
      </c>
      <c r="B62" t="s">
        <v>29</v>
      </c>
      <c r="C62" t="s">
        <v>204</v>
      </c>
      <c r="D62" t="s">
        <v>31</v>
      </c>
      <c r="E62" t="s">
        <v>329</v>
      </c>
      <c r="F62" t="s">
        <v>723</v>
      </c>
      <c r="G62" t="s">
        <v>723</v>
      </c>
      <c r="H62" t="s">
        <v>329</v>
      </c>
      <c r="I62" t="s">
        <v>716</v>
      </c>
      <c r="J62" t="s">
        <v>32</v>
      </c>
      <c r="K62" t="s">
        <v>339</v>
      </c>
      <c r="L62" t="s">
        <v>39</v>
      </c>
      <c r="M62" t="s">
        <v>340</v>
      </c>
      <c r="N62">
        <v>8</v>
      </c>
      <c r="O62" t="s">
        <v>717</v>
      </c>
      <c r="P62" t="s">
        <v>32</v>
      </c>
      <c r="Q62" t="s">
        <v>329</v>
      </c>
      <c r="R62" t="s">
        <v>329</v>
      </c>
      <c r="S62" t="s">
        <v>717</v>
      </c>
      <c r="T62" t="s">
        <v>329</v>
      </c>
      <c r="U62" t="s">
        <v>32</v>
      </c>
      <c r="V62" t="s">
        <v>369</v>
      </c>
      <c r="W62" t="s">
        <v>369</v>
      </c>
      <c r="X62" t="s">
        <v>43</v>
      </c>
      <c r="Y62" t="s">
        <v>747</v>
      </c>
      <c r="Z62" t="s">
        <v>341</v>
      </c>
      <c r="AA62">
        <v>3</v>
      </c>
    </row>
    <row r="63" spans="1:27" x14ac:dyDescent="0.25">
      <c r="A63" t="s">
        <v>342</v>
      </c>
      <c r="B63" t="s">
        <v>29</v>
      </c>
      <c r="C63" t="s">
        <v>46</v>
      </c>
      <c r="D63" t="s">
        <v>31</v>
      </c>
      <c r="E63" t="s">
        <v>369</v>
      </c>
      <c r="F63" t="s">
        <v>727</v>
      </c>
      <c r="G63" t="s">
        <v>719</v>
      </c>
      <c r="H63" t="s">
        <v>369</v>
      </c>
      <c r="I63" t="s">
        <v>720</v>
      </c>
      <c r="J63" t="s">
        <v>32</v>
      </c>
      <c r="K63" t="s">
        <v>343</v>
      </c>
      <c r="L63" t="s">
        <v>39</v>
      </c>
      <c r="M63" t="s">
        <v>344</v>
      </c>
      <c r="N63">
        <v>10</v>
      </c>
      <c r="O63" t="s">
        <v>32</v>
      </c>
      <c r="P63" t="s">
        <v>369</v>
      </c>
      <c r="Q63" t="s">
        <v>717</v>
      </c>
      <c r="R63" t="s">
        <v>369</v>
      </c>
      <c r="S63" t="s">
        <v>369</v>
      </c>
      <c r="T63" t="s">
        <v>369</v>
      </c>
      <c r="U63" t="s">
        <v>369</v>
      </c>
      <c r="V63" t="s">
        <v>369</v>
      </c>
      <c r="W63" t="s">
        <v>369</v>
      </c>
      <c r="X63" t="s">
        <v>43</v>
      </c>
      <c r="Y63" t="s">
        <v>747</v>
      </c>
      <c r="Z63" t="s">
        <v>345</v>
      </c>
      <c r="AA63">
        <v>6</v>
      </c>
    </row>
    <row r="64" spans="1:27" x14ac:dyDescent="0.25">
      <c r="A64" t="s">
        <v>186</v>
      </c>
      <c r="B64" t="s">
        <v>84</v>
      </c>
      <c r="C64" t="s">
        <v>46</v>
      </c>
      <c r="D64" t="s">
        <v>31</v>
      </c>
      <c r="E64" t="s">
        <v>32</v>
      </c>
      <c r="F64" t="s">
        <v>32</v>
      </c>
      <c r="G64" t="s">
        <v>32</v>
      </c>
      <c r="H64" t="s">
        <v>32</v>
      </c>
      <c r="I64" t="s">
        <v>731</v>
      </c>
      <c r="J64" t="s">
        <v>369</v>
      </c>
      <c r="K64" t="s">
        <v>346</v>
      </c>
      <c r="L64" t="s">
        <v>39</v>
      </c>
      <c r="M64" t="s">
        <v>347</v>
      </c>
      <c r="N64">
        <v>10</v>
      </c>
      <c r="O64" t="s">
        <v>369</v>
      </c>
      <c r="P64" t="s">
        <v>32</v>
      </c>
      <c r="Q64" t="s">
        <v>32</v>
      </c>
      <c r="R64" t="s">
        <v>32</v>
      </c>
      <c r="S64" t="s">
        <v>32</v>
      </c>
      <c r="T64" t="s">
        <v>32</v>
      </c>
      <c r="U64" t="s">
        <v>32</v>
      </c>
      <c r="V64" t="s">
        <v>32</v>
      </c>
      <c r="W64" t="s">
        <v>32</v>
      </c>
      <c r="X64" t="s">
        <v>39</v>
      </c>
      <c r="Y64" t="s">
        <v>32</v>
      </c>
      <c r="Z64" t="s">
        <v>348</v>
      </c>
      <c r="AA64">
        <v>10</v>
      </c>
    </row>
    <row r="65" spans="1:27" x14ac:dyDescent="0.25">
      <c r="A65" t="s">
        <v>349</v>
      </c>
      <c r="B65" t="s">
        <v>29</v>
      </c>
      <c r="C65" t="s">
        <v>46</v>
      </c>
      <c r="D65" t="s">
        <v>350</v>
      </c>
      <c r="E65" t="s">
        <v>32</v>
      </c>
      <c r="F65" t="s">
        <v>727</v>
      </c>
      <c r="G65" t="s">
        <v>32</v>
      </c>
      <c r="H65" t="s">
        <v>32</v>
      </c>
      <c r="I65" t="s">
        <v>730</v>
      </c>
      <c r="J65" t="s">
        <v>369</v>
      </c>
      <c r="K65" t="s">
        <v>351</v>
      </c>
      <c r="L65" t="s">
        <v>39</v>
      </c>
      <c r="M65" t="s">
        <v>352</v>
      </c>
      <c r="N65">
        <v>9</v>
      </c>
      <c r="O65" t="s">
        <v>369</v>
      </c>
      <c r="P65" t="s">
        <v>32</v>
      </c>
      <c r="Q65" t="s">
        <v>32</v>
      </c>
      <c r="R65" t="s">
        <v>32</v>
      </c>
      <c r="S65" t="s">
        <v>32</v>
      </c>
      <c r="T65" t="s">
        <v>32</v>
      </c>
      <c r="U65" t="s">
        <v>32</v>
      </c>
      <c r="V65" t="s">
        <v>32</v>
      </c>
      <c r="W65" t="s">
        <v>32</v>
      </c>
      <c r="X65" t="s">
        <v>43</v>
      </c>
      <c r="Y65" t="s">
        <v>747</v>
      </c>
      <c r="Z65" t="s">
        <v>353</v>
      </c>
      <c r="AA65">
        <v>5</v>
      </c>
    </row>
    <row r="66" spans="1:27" x14ac:dyDescent="0.25">
      <c r="A66" t="s">
        <v>354</v>
      </c>
      <c r="B66" t="s">
        <v>29</v>
      </c>
      <c r="C66" t="s">
        <v>46</v>
      </c>
      <c r="D66" t="s">
        <v>31</v>
      </c>
      <c r="E66" t="s">
        <v>329</v>
      </c>
      <c r="F66" t="s">
        <v>329</v>
      </c>
      <c r="G66" t="s">
        <v>329</v>
      </c>
      <c r="H66" t="s">
        <v>329</v>
      </c>
      <c r="I66" t="s">
        <v>718</v>
      </c>
      <c r="J66" t="s">
        <v>32</v>
      </c>
      <c r="K66" t="s">
        <v>132</v>
      </c>
      <c r="L66" t="s">
        <v>39</v>
      </c>
      <c r="M66" t="s">
        <v>355</v>
      </c>
      <c r="N66">
        <v>8</v>
      </c>
      <c r="O66" t="s">
        <v>32</v>
      </c>
      <c r="P66" t="s">
        <v>329</v>
      </c>
      <c r="Q66" t="s">
        <v>329</v>
      </c>
      <c r="R66" t="s">
        <v>329</v>
      </c>
      <c r="S66" t="s">
        <v>329</v>
      </c>
      <c r="T66" t="s">
        <v>329</v>
      </c>
      <c r="U66" t="s">
        <v>329</v>
      </c>
      <c r="V66" t="s">
        <v>329</v>
      </c>
      <c r="W66" t="s">
        <v>329</v>
      </c>
      <c r="X66" t="s">
        <v>43</v>
      </c>
      <c r="Y66" t="s">
        <v>747</v>
      </c>
      <c r="Z66" t="s">
        <v>356</v>
      </c>
      <c r="AA66">
        <v>5</v>
      </c>
    </row>
    <row r="67" spans="1:27" x14ac:dyDescent="0.25">
      <c r="A67" t="s">
        <v>357</v>
      </c>
      <c r="B67" t="s">
        <v>29</v>
      </c>
      <c r="C67" t="s">
        <v>204</v>
      </c>
      <c r="D67" t="s">
        <v>31</v>
      </c>
      <c r="E67" t="s">
        <v>329</v>
      </c>
      <c r="F67" t="s">
        <v>329</v>
      </c>
      <c r="G67" t="s">
        <v>329</v>
      </c>
      <c r="H67" t="s">
        <v>329</v>
      </c>
      <c r="I67" t="s">
        <v>720</v>
      </c>
      <c r="J67" t="s">
        <v>369</v>
      </c>
      <c r="K67" t="s">
        <v>358</v>
      </c>
      <c r="L67" t="s">
        <v>39</v>
      </c>
      <c r="M67" t="s">
        <v>359</v>
      </c>
      <c r="N67">
        <v>7</v>
      </c>
      <c r="O67" t="s">
        <v>369</v>
      </c>
      <c r="P67" t="s">
        <v>329</v>
      </c>
      <c r="Q67" t="s">
        <v>329</v>
      </c>
      <c r="R67" t="s">
        <v>329</v>
      </c>
      <c r="S67" t="s">
        <v>329</v>
      </c>
      <c r="T67" t="s">
        <v>329</v>
      </c>
      <c r="U67" t="s">
        <v>329</v>
      </c>
      <c r="V67" t="s">
        <v>329</v>
      </c>
      <c r="W67" t="s">
        <v>329</v>
      </c>
      <c r="X67" t="s">
        <v>89</v>
      </c>
      <c r="Y67" t="s">
        <v>329</v>
      </c>
      <c r="Z67" t="s">
        <v>360</v>
      </c>
      <c r="AA67">
        <v>7</v>
      </c>
    </row>
    <row r="68" spans="1:27" x14ac:dyDescent="0.25">
      <c r="A68" t="s">
        <v>361</v>
      </c>
      <c r="B68" t="s">
        <v>29</v>
      </c>
      <c r="C68" t="s">
        <v>46</v>
      </c>
      <c r="D68" t="s">
        <v>31</v>
      </c>
      <c r="E68" t="s">
        <v>329</v>
      </c>
      <c r="F68" t="s">
        <v>329</v>
      </c>
      <c r="G68" t="s">
        <v>723</v>
      </c>
      <c r="H68" t="s">
        <v>329</v>
      </c>
      <c r="I68" t="s">
        <v>729</v>
      </c>
      <c r="J68" t="s">
        <v>329</v>
      </c>
      <c r="K68" t="s">
        <v>362</v>
      </c>
      <c r="L68" t="s">
        <v>39</v>
      </c>
      <c r="M68" t="s">
        <v>363</v>
      </c>
      <c r="N68">
        <v>1</v>
      </c>
      <c r="O68" t="s">
        <v>717</v>
      </c>
      <c r="P68" t="s">
        <v>329</v>
      </c>
      <c r="Q68" t="s">
        <v>32</v>
      </c>
      <c r="R68" t="s">
        <v>329</v>
      </c>
      <c r="S68" t="s">
        <v>32</v>
      </c>
      <c r="T68" t="s">
        <v>32</v>
      </c>
      <c r="U68" t="s">
        <v>329</v>
      </c>
      <c r="V68" t="s">
        <v>32</v>
      </c>
      <c r="W68" t="s">
        <v>329</v>
      </c>
      <c r="X68" t="s">
        <v>39</v>
      </c>
      <c r="Y68" t="s">
        <v>32</v>
      </c>
      <c r="Z68" t="s">
        <v>364</v>
      </c>
      <c r="AA68">
        <v>1</v>
      </c>
    </row>
    <row r="69" spans="1:27" x14ac:dyDescent="0.25">
      <c r="A69" t="s">
        <v>365</v>
      </c>
      <c r="B69" t="s">
        <v>29</v>
      </c>
      <c r="C69" t="s">
        <v>204</v>
      </c>
      <c r="D69" t="s">
        <v>31</v>
      </c>
      <c r="E69" t="s">
        <v>329</v>
      </c>
      <c r="F69" t="s">
        <v>719</v>
      </c>
      <c r="G69" t="s">
        <v>723</v>
      </c>
      <c r="H69" t="s">
        <v>329</v>
      </c>
      <c r="I69" t="s">
        <v>716</v>
      </c>
      <c r="J69" t="s">
        <v>32</v>
      </c>
      <c r="K69" t="s">
        <v>367</v>
      </c>
      <c r="L69" t="s">
        <v>39</v>
      </c>
      <c r="M69" t="s">
        <v>368</v>
      </c>
      <c r="N69">
        <v>10</v>
      </c>
      <c r="O69" t="s">
        <v>369</v>
      </c>
      <c r="P69" t="s">
        <v>329</v>
      </c>
      <c r="Q69" t="s">
        <v>32</v>
      </c>
      <c r="R69" t="s">
        <v>329</v>
      </c>
      <c r="S69" t="s">
        <v>32</v>
      </c>
      <c r="T69" t="s">
        <v>329</v>
      </c>
      <c r="U69" t="s">
        <v>329</v>
      </c>
      <c r="V69" t="s">
        <v>32</v>
      </c>
      <c r="W69" t="s">
        <v>329</v>
      </c>
      <c r="X69" t="s">
        <v>39</v>
      </c>
      <c r="Y69" t="s">
        <v>32</v>
      </c>
      <c r="Z69" t="s">
        <v>370</v>
      </c>
      <c r="AA69">
        <v>5</v>
      </c>
    </row>
    <row r="70" spans="1:27" x14ac:dyDescent="0.25">
      <c r="A70" t="s">
        <v>371</v>
      </c>
      <c r="B70" t="s">
        <v>29</v>
      </c>
      <c r="C70" t="s">
        <v>46</v>
      </c>
      <c r="D70" t="s">
        <v>31</v>
      </c>
      <c r="E70" t="s">
        <v>32</v>
      </c>
      <c r="F70" t="s">
        <v>721</v>
      </c>
      <c r="G70" t="s">
        <v>32</v>
      </c>
      <c r="H70" t="s">
        <v>32</v>
      </c>
      <c r="I70" t="s">
        <v>720</v>
      </c>
      <c r="J70" t="s">
        <v>32</v>
      </c>
      <c r="K70" t="s">
        <v>372</v>
      </c>
      <c r="L70" t="s">
        <v>43</v>
      </c>
      <c r="M70" t="s">
        <v>373</v>
      </c>
      <c r="N70">
        <v>8</v>
      </c>
      <c r="O70" t="s">
        <v>329</v>
      </c>
      <c r="P70" t="s">
        <v>329</v>
      </c>
      <c r="Q70" t="s">
        <v>329</v>
      </c>
      <c r="R70" t="s">
        <v>32</v>
      </c>
      <c r="S70" t="s">
        <v>32</v>
      </c>
      <c r="T70" t="s">
        <v>32</v>
      </c>
      <c r="U70" t="s">
        <v>32</v>
      </c>
      <c r="V70" t="s">
        <v>717</v>
      </c>
      <c r="W70" t="s">
        <v>717</v>
      </c>
      <c r="X70" t="s">
        <v>39</v>
      </c>
      <c r="Y70" t="s">
        <v>32</v>
      </c>
      <c r="Z70" t="s">
        <v>374</v>
      </c>
      <c r="AA70">
        <v>6</v>
      </c>
    </row>
    <row r="71" spans="1:27" x14ac:dyDescent="0.25">
      <c r="A71" t="s">
        <v>375</v>
      </c>
      <c r="B71" t="s">
        <v>29</v>
      </c>
      <c r="C71" t="s">
        <v>46</v>
      </c>
      <c r="D71" t="s">
        <v>31</v>
      </c>
      <c r="E71" t="s">
        <v>32</v>
      </c>
      <c r="F71" t="s">
        <v>32</v>
      </c>
      <c r="G71" t="s">
        <v>32</v>
      </c>
      <c r="H71" t="s">
        <v>32</v>
      </c>
      <c r="I71" t="s">
        <v>722</v>
      </c>
      <c r="J71" t="s">
        <v>717</v>
      </c>
      <c r="K71" t="s">
        <v>376</v>
      </c>
      <c r="L71" t="s">
        <v>39</v>
      </c>
      <c r="M71" t="s">
        <v>377</v>
      </c>
      <c r="N71">
        <v>7</v>
      </c>
      <c r="O71" t="s">
        <v>717</v>
      </c>
      <c r="P71" t="s">
        <v>32</v>
      </c>
      <c r="Q71" t="s">
        <v>32</v>
      </c>
      <c r="R71" t="s">
        <v>32</v>
      </c>
      <c r="S71" t="s">
        <v>32</v>
      </c>
      <c r="T71" t="s">
        <v>32</v>
      </c>
      <c r="U71" t="s">
        <v>32</v>
      </c>
      <c r="V71" t="s">
        <v>32</v>
      </c>
      <c r="W71" t="s">
        <v>32</v>
      </c>
      <c r="X71" t="s">
        <v>43</v>
      </c>
      <c r="Y71" t="s">
        <v>747</v>
      </c>
      <c r="Z71" t="s">
        <v>378</v>
      </c>
      <c r="AA71">
        <v>4</v>
      </c>
    </row>
    <row r="72" spans="1:27" x14ac:dyDescent="0.25">
      <c r="A72" t="s">
        <v>379</v>
      </c>
      <c r="B72" t="s">
        <v>29</v>
      </c>
      <c r="C72" t="s">
        <v>46</v>
      </c>
      <c r="D72" t="s">
        <v>31</v>
      </c>
      <c r="E72" t="s">
        <v>32</v>
      </c>
      <c r="F72" t="s">
        <v>32</v>
      </c>
      <c r="G72" t="s">
        <v>32</v>
      </c>
      <c r="H72" t="s">
        <v>32</v>
      </c>
      <c r="I72" t="s">
        <v>720</v>
      </c>
      <c r="J72" t="s">
        <v>32</v>
      </c>
      <c r="K72" t="s">
        <v>380</v>
      </c>
      <c r="L72" t="s">
        <v>39</v>
      </c>
      <c r="M72" t="s">
        <v>381</v>
      </c>
      <c r="N72">
        <v>7</v>
      </c>
      <c r="O72" t="s">
        <v>717</v>
      </c>
      <c r="P72" t="s">
        <v>32</v>
      </c>
      <c r="Q72" t="s">
        <v>32</v>
      </c>
      <c r="R72" t="s">
        <v>329</v>
      </c>
      <c r="S72" t="s">
        <v>32</v>
      </c>
      <c r="T72" t="s">
        <v>32</v>
      </c>
      <c r="U72" t="s">
        <v>329</v>
      </c>
      <c r="V72" t="s">
        <v>32</v>
      </c>
      <c r="W72" t="s">
        <v>717</v>
      </c>
      <c r="X72" t="s">
        <v>39</v>
      </c>
      <c r="Y72" t="s">
        <v>32</v>
      </c>
      <c r="Z72" t="s">
        <v>382</v>
      </c>
      <c r="AA72">
        <v>8</v>
      </c>
    </row>
    <row r="73" spans="1:27" x14ac:dyDescent="0.25">
      <c r="A73" t="s">
        <v>383</v>
      </c>
      <c r="B73" t="s">
        <v>29</v>
      </c>
      <c r="C73" t="s">
        <v>46</v>
      </c>
      <c r="D73" t="s">
        <v>31</v>
      </c>
      <c r="E73" t="s">
        <v>329</v>
      </c>
      <c r="F73" t="s">
        <v>721</v>
      </c>
      <c r="G73" t="s">
        <v>721</v>
      </c>
      <c r="H73" t="s">
        <v>717</v>
      </c>
      <c r="I73" t="s">
        <v>720</v>
      </c>
      <c r="J73" t="s">
        <v>329</v>
      </c>
      <c r="K73" t="s">
        <v>385</v>
      </c>
      <c r="L73" t="s">
        <v>39</v>
      </c>
      <c r="M73" t="s">
        <v>386</v>
      </c>
      <c r="N73">
        <v>10</v>
      </c>
      <c r="O73" t="s">
        <v>329</v>
      </c>
      <c r="P73" t="s">
        <v>717</v>
      </c>
      <c r="Q73" t="s">
        <v>717</v>
      </c>
      <c r="R73" t="s">
        <v>329</v>
      </c>
      <c r="S73" t="s">
        <v>717</v>
      </c>
      <c r="T73" t="s">
        <v>717</v>
      </c>
      <c r="U73" t="s">
        <v>329</v>
      </c>
      <c r="V73" t="s">
        <v>329</v>
      </c>
      <c r="W73" t="s">
        <v>369</v>
      </c>
      <c r="X73" t="s">
        <v>43</v>
      </c>
      <c r="Y73" t="s">
        <v>32</v>
      </c>
      <c r="Z73" t="s">
        <v>387</v>
      </c>
      <c r="AA73">
        <v>5</v>
      </c>
    </row>
    <row r="74" spans="1:27" x14ac:dyDescent="0.25">
      <c r="A74" t="s">
        <v>388</v>
      </c>
      <c r="B74" t="s">
        <v>29</v>
      </c>
      <c r="C74" t="s">
        <v>204</v>
      </c>
      <c r="D74" t="s">
        <v>389</v>
      </c>
      <c r="E74" t="s">
        <v>369</v>
      </c>
      <c r="F74" t="s">
        <v>732</v>
      </c>
      <c r="G74" t="s">
        <v>732</v>
      </c>
      <c r="H74" t="s">
        <v>369</v>
      </c>
      <c r="I74" t="s">
        <v>722</v>
      </c>
      <c r="J74" t="s">
        <v>717</v>
      </c>
      <c r="K74" t="s">
        <v>392</v>
      </c>
      <c r="L74" t="s">
        <v>39</v>
      </c>
      <c r="M74" t="s">
        <v>393</v>
      </c>
      <c r="N74">
        <v>7</v>
      </c>
      <c r="O74" t="s">
        <v>746</v>
      </c>
      <c r="P74" t="s">
        <v>369</v>
      </c>
      <c r="Q74" t="s">
        <v>369</v>
      </c>
      <c r="R74" t="s">
        <v>369</v>
      </c>
      <c r="S74" t="s">
        <v>717</v>
      </c>
      <c r="T74" t="s">
        <v>369</v>
      </c>
      <c r="U74" t="s">
        <v>369</v>
      </c>
      <c r="V74" t="s">
        <v>369</v>
      </c>
      <c r="W74" t="s">
        <v>369</v>
      </c>
      <c r="X74" t="s">
        <v>43</v>
      </c>
      <c r="Y74" t="s">
        <v>747</v>
      </c>
      <c r="Z74" t="s">
        <v>395</v>
      </c>
      <c r="AA74">
        <v>6</v>
      </c>
    </row>
    <row r="75" spans="1:27" x14ac:dyDescent="0.25">
      <c r="A75" t="s">
        <v>396</v>
      </c>
      <c r="B75" t="s">
        <v>29</v>
      </c>
      <c r="C75" t="s">
        <v>204</v>
      </c>
      <c r="D75" t="s">
        <v>31</v>
      </c>
      <c r="E75" t="s">
        <v>329</v>
      </c>
      <c r="F75" t="s">
        <v>721</v>
      </c>
      <c r="G75" t="s">
        <v>721</v>
      </c>
      <c r="H75" t="s">
        <v>329</v>
      </c>
      <c r="I75" t="s">
        <v>720</v>
      </c>
      <c r="J75" t="s">
        <v>717</v>
      </c>
      <c r="K75" t="s">
        <v>397</v>
      </c>
      <c r="L75" t="s">
        <v>43</v>
      </c>
      <c r="M75" t="s">
        <v>398</v>
      </c>
      <c r="N75">
        <v>3</v>
      </c>
      <c r="O75" t="s">
        <v>746</v>
      </c>
      <c r="P75" t="s">
        <v>329</v>
      </c>
      <c r="Q75" t="s">
        <v>329</v>
      </c>
      <c r="R75" t="s">
        <v>329</v>
      </c>
      <c r="S75" t="s">
        <v>329</v>
      </c>
      <c r="T75" t="s">
        <v>329</v>
      </c>
      <c r="U75" t="s">
        <v>329</v>
      </c>
      <c r="V75" t="s">
        <v>329</v>
      </c>
      <c r="W75" t="s">
        <v>717</v>
      </c>
      <c r="X75" t="s">
        <v>43</v>
      </c>
      <c r="Y75" t="s">
        <v>747</v>
      </c>
      <c r="Z75" t="s">
        <v>400</v>
      </c>
      <c r="AA75">
        <v>1</v>
      </c>
    </row>
    <row r="76" spans="1:27" x14ac:dyDescent="0.25">
      <c r="A76" t="s">
        <v>401</v>
      </c>
      <c r="B76" t="s">
        <v>29</v>
      </c>
      <c r="C76" t="s">
        <v>46</v>
      </c>
      <c r="D76" t="s">
        <v>31</v>
      </c>
      <c r="E76" t="s">
        <v>329</v>
      </c>
      <c r="F76" t="s">
        <v>724</v>
      </c>
      <c r="G76" t="s">
        <v>724</v>
      </c>
      <c r="H76" t="s">
        <v>329</v>
      </c>
      <c r="I76" t="s">
        <v>720</v>
      </c>
      <c r="J76" t="s">
        <v>369</v>
      </c>
      <c r="K76" t="s">
        <v>402</v>
      </c>
      <c r="L76" t="s">
        <v>39</v>
      </c>
      <c r="M76" t="s">
        <v>402</v>
      </c>
      <c r="N76">
        <v>10</v>
      </c>
      <c r="O76" t="s">
        <v>369</v>
      </c>
      <c r="P76" t="s">
        <v>369</v>
      </c>
      <c r="Q76" t="s">
        <v>329</v>
      </c>
      <c r="R76" t="s">
        <v>32</v>
      </c>
      <c r="S76" t="s">
        <v>369</v>
      </c>
      <c r="T76" t="s">
        <v>369</v>
      </c>
      <c r="U76" t="s">
        <v>369</v>
      </c>
      <c r="V76" t="s">
        <v>329</v>
      </c>
      <c r="W76" t="s">
        <v>717</v>
      </c>
      <c r="X76" t="s">
        <v>89</v>
      </c>
      <c r="Y76" t="s">
        <v>32</v>
      </c>
      <c r="Z76" t="s">
        <v>403</v>
      </c>
      <c r="AA76">
        <v>6</v>
      </c>
    </row>
    <row r="77" spans="1:27" x14ac:dyDescent="0.25">
      <c r="A77" t="s">
        <v>404</v>
      </c>
      <c r="B77" t="s">
        <v>29</v>
      </c>
      <c r="C77" t="s">
        <v>46</v>
      </c>
      <c r="D77" t="s">
        <v>31</v>
      </c>
      <c r="E77" t="s">
        <v>717</v>
      </c>
      <c r="F77" t="s">
        <v>717</v>
      </c>
      <c r="G77" t="s">
        <v>717</v>
      </c>
      <c r="H77" t="s">
        <v>717</v>
      </c>
      <c r="I77" t="s">
        <v>722</v>
      </c>
      <c r="J77" t="s">
        <v>329</v>
      </c>
      <c r="K77" t="s">
        <v>406</v>
      </c>
      <c r="L77" t="s">
        <v>39</v>
      </c>
      <c r="M77" t="s">
        <v>407</v>
      </c>
      <c r="N77">
        <v>9</v>
      </c>
      <c r="O77" t="s">
        <v>329</v>
      </c>
      <c r="P77" t="s">
        <v>32</v>
      </c>
      <c r="Q77" t="s">
        <v>329</v>
      </c>
      <c r="R77" t="s">
        <v>32</v>
      </c>
      <c r="S77" t="s">
        <v>717</v>
      </c>
      <c r="T77" t="s">
        <v>717</v>
      </c>
      <c r="U77" t="s">
        <v>717</v>
      </c>
      <c r="V77" t="s">
        <v>717</v>
      </c>
      <c r="W77" t="s">
        <v>717</v>
      </c>
      <c r="X77" t="s">
        <v>43</v>
      </c>
      <c r="Y77" t="s">
        <v>747</v>
      </c>
      <c r="Z77" t="s">
        <v>408</v>
      </c>
      <c r="AA77">
        <v>4</v>
      </c>
    </row>
    <row r="78" spans="1:27" x14ac:dyDescent="0.25">
      <c r="A78" t="s">
        <v>409</v>
      </c>
      <c r="B78" t="s">
        <v>29</v>
      </c>
      <c r="C78" t="s">
        <v>46</v>
      </c>
      <c r="D78" t="s">
        <v>31</v>
      </c>
      <c r="E78" t="s">
        <v>329</v>
      </c>
      <c r="F78" t="s">
        <v>725</v>
      </c>
      <c r="G78" t="s">
        <v>725</v>
      </c>
      <c r="H78" t="s">
        <v>329</v>
      </c>
      <c r="I78" t="s">
        <v>720</v>
      </c>
      <c r="J78" t="s">
        <v>329</v>
      </c>
      <c r="K78" t="s">
        <v>410</v>
      </c>
      <c r="L78" t="s">
        <v>39</v>
      </c>
      <c r="M78" t="s">
        <v>411</v>
      </c>
      <c r="N78">
        <v>10</v>
      </c>
      <c r="O78" t="s">
        <v>369</v>
      </c>
      <c r="P78" t="s">
        <v>329</v>
      </c>
      <c r="Q78" t="s">
        <v>717</v>
      </c>
      <c r="R78" t="s">
        <v>717</v>
      </c>
      <c r="S78" t="s">
        <v>329</v>
      </c>
      <c r="T78" t="s">
        <v>717</v>
      </c>
      <c r="U78" t="s">
        <v>717</v>
      </c>
      <c r="V78" t="s">
        <v>717</v>
      </c>
      <c r="W78" t="s">
        <v>717</v>
      </c>
      <c r="X78" t="s">
        <v>43</v>
      </c>
      <c r="Y78" t="s">
        <v>32</v>
      </c>
      <c r="Z78" t="s">
        <v>412</v>
      </c>
      <c r="AA78">
        <v>6</v>
      </c>
    </row>
    <row r="79" spans="1:27" x14ac:dyDescent="0.25">
      <c r="A79" t="s">
        <v>413</v>
      </c>
      <c r="B79" t="s">
        <v>84</v>
      </c>
      <c r="C79" t="s">
        <v>46</v>
      </c>
      <c r="D79" t="s">
        <v>31</v>
      </c>
      <c r="E79" t="s">
        <v>733</v>
      </c>
      <c r="F79" t="s">
        <v>329</v>
      </c>
      <c r="G79" t="s">
        <v>329</v>
      </c>
      <c r="H79" t="s">
        <v>329</v>
      </c>
      <c r="I79" t="s">
        <v>718</v>
      </c>
      <c r="J79" t="s">
        <v>329</v>
      </c>
      <c r="K79" t="s">
        <v>156</v>
      </c>
      <c r="L79" t="s">
        <v>39</v>
      </c>
      <c r="M79" t="s">
        <v>297</v>
      </c>
      <c r="N79">
        <v>7</v>
      </c>
      <c r="O79" t="s">
        <v>329</v>
      </c>
      <c r="P79" t="s">
        <v>329</v>
      </c>
      <c r="Q79" t="s">
        <v>329</v>
      </c>
      <c r="R79" t="s">
        <v>329</v>
      </c>
      <c r="S79" t="s">
        <v>329</v>
      </c>
      <c r="T79" t="s">
        <v>329</v>
      </c>
      <c r="U79" t="s">
        <v>329</v>
      </c>
      <c r="V79" t="s">
        <v>329</v>
      </c>
      <c r="W79" t="s">
        <v>329</v>
      </c>
      <c r="X79" t="s">
        <v>39</v>
      </c>
      <c r="Y79" t="s">
        <v>329</v>
      </c>
      <c r="Z79" t="s">
        <v>415</v>
      </c>
      <c r="AA79">
        <v>5</v>
      </c>
    </row>
    <row r="80" spans="1:27" x14ac:dyDescent="0.25">
      <c r="A80" t="s">
        <v>416</v>
      </c>
      <c r="B80" t="s">
        <v>29</v>
      </c>
      <c r="C80" t="s">
        <v>46</v>
      </c>
      <c r="D80" t="s">
        <v>31</v>
      </c>
      <c r="E80" t="s">
        <v>329</v>
      </c>
      <c r="F80" t="s">
        <v>715</v>
      </c>
      <c r="G80" t="s">
        <v>329</v>
      </c>
      <c r="H80" t="s">
        <v>329</v>
      </c>
      <c r="I80" t="s">
        <v>729</v>
      </c>
      <c r="J80" t="s">
        <v>329</v>
      </c>
      <c r="K80" t="s">
        <v>417</v>
      </c>
      <c r="L80" t="s">
        <v>39</v>
      </c>
      <c r="M80" t="s">
        <v>418</v>
      </c>
      <c r="N80">
        <v>8</v>
      </c>
      <c r="O80" t="s">
        <v>32</v>
      </c>
      <c r="P80" t="s">
        <v>329</v>
      </c>
      <c r="Q80" t="s">
        <v>329</v>
      </c>
      <c r="R80" t="s">
        <v>329</v>
      </c>
      <c r="S80" t="s">
        <v>329</v>
      </c>
      <c r="T80" t="s">
        <v>329</v>
      </c>
      <c r="U80" t="s">
        <v>329</v>
      </c>
      <c r="V80" t="s">
        <v>329</v>
      </c>
      <c r="W80" t="s">
        <v>329</v>
      </c>
      <c r="X80" t="s">
        <v>43</v>
      </c>
      <c r="Y80" t="s">
        <v>32</v>
      </c>
      <c r="Z80" t="s">
        <v>419</v>
      </c>
      <c r="AA80">
        <v>8</v>
      </c>
    </row>
    <row r="81" spans="1:27" x14ac:dyDescent="0.25">
      <c r="A81" t="s">
        <v>420</v>
      </c>
      <c r="B81" t="s">
        <v>84</v>
      </c>
      <c r="C81" t="s">
        <v>204</v>
      </c>
      <c r="D81" t="s">
        <v>31</v>
      </c>
      <c r="E81" t="s">
        <v>369</v>
      </c>
      <c r="F81" t="s">
        <v>734</v>
      </c>
      <c r="G81" t="s">
        <v>369</v>
      </c>
      <c r="H81" t="s">
        <v>369</v>
      </c>
      <c r="I81" t="s">
        <v>718</v>
      </c>
      <c r="J81" t="s">
        <v>32</v>
      </c>
      <c r="K81" t="s">
        <v>422</v>
      </c>
      <c r="L81" t="s">
        <v>39</v>
      </c>
      <c r="M81" t="s">
        <v>423</v>
      </c>
      <c r="N81">
        <v>7</v>
      </c>
      <c r="O81" t="s">
        <v>329</v>
      </c>
      <c r="P81" t="s">
        <v>329</v>
      </c>
      <c r="Q81" t="s">
        <v>717</v>
      </c>
      <c r="R81" t="s">
        <v>717</v>
      </c>
      <c r="S81" t="s">
        <v>369</v>
      </c>
      <c r="T81" t="s">
        <v>369</v>
      </c>
      <c r="U81" t="s">
        <v>369</v>
      </c>
      <c r="V81" t="s">
        <v>717</v>
      </c>
      <c r="W81" t="s">
        <v>329</v>
      </c>
      <c r="X81" t="s">
        <v>43</v>
      </c>
      <c r="Y81" t="s">
        <v>747</v>
      </c>
      <c r="Z81" t="s">
        <v>424</v>
      </c>
      <c r="AA81">
        <v>5</v>
      </c>
    </row>
    <row r="82" spans="1:27" x14ac:dyDescent="0.25">
      <c r="A82" t="s">
        <v>425</v>
      </c>
      <c r="B82" t="s">
        <v>29</v>
      </c>
      <c r="C82" t="s">
        <v>46</v>
      </c>
      <c r="D82" t="s">
        <v>426</v>
      </c>
      <c r="E82" t="s">
        <v>735</v>
      </c>
      <c r="F82" t="s">
        <v>369</v>
      </c>
      <c r="G82" t="s">
        <v>719</v>
      </c>
      <c r="H82" t="s">
        <v>369</v>
      </c>
      <c r="I82" t="s">
        <v>720</v>
      </c>
      <c r="J82" t="s">
        <v>32</v>
      </c>
      <c r="K82" t="s">
        <v>428</v>
      </c>
      <c r="L82" t="s">
        <v>39</v>
      </c>
      <c r="M82" t="s">
        <v>429</v>
      </c>
      <c r="N82">
        <v>10</v>
      </c>
      <c r="O82" t="s">
        <v>746</v>
      </c>
      <c r="P82" t="s">
        <v>369</v>
      </c>
      <c r="Q82" t="s">
        <v>369</v>
      </c>
      <c r="R82" t="s">
        <v>329</v>
      </c>
      <c r="S82" t="s">
        <v>369</v>
      </c>
      <c r="T82" t="s">
        <v>369</v>
      </c>
      <c r="U82" t="s">
        <v>329</v>
      </c>
      <c r="V82" t="s">
        <v>369</v>
      </c>
      <c r="W82" t="s">
        <v>369</v>
      </c>
      <c r="X82" t="s">
        <v>43</v>
      </c>
      <c r="Y82" t="s">
        <v>747</v>
      </c>
      <c r="Z82" t="s">
        <v>97</v>
      </c>
      <c r="AA82">
        <v>5</v>
      </c>
    </row>
    <row r="83" spans="1:27" x14ac:dyDescent="0.25">
      <c r="A83" t="s">
        <v>430</v>
      </c>
      <c r="B83" t="s">
        <v>29</v>
      </c>
      <c r="C83" t="s">
        <v>46</v>
      </c>
      <c r="D83" t="s">
        <v>31</v>
      </c>
      <c r="E83" t="s">
        <v>32</v>
      </c>
      <c r="F83" t="s">
        <v>728</v>
      </c>
      <c r="G83" t="s">
        <v>728</v>
      </c>
      <c r="H83" t="s">
        <v>32</v>
      </c>
      <c r="I83" t="s">
        <v>716</v>
      </c>
      <c r="J83" t="s">
        <v>329</v>
      </c>
      <c r="K83" t="s">
        <v>431</v>
      </c>
      <c r="L83" t="s">
        <v>39</v>
      </c>
      <c r="M83" t="s">
        <v>432</v>
      </c>
      <c r="N83">
        <v>10</v>
      </c>
      <c r="O83" t="s">
        <v>717</v>
      </c>
      <c r="P83" t="s">
        <v>717</v>
      </c>
      <c r="Q83" t="s">
        <v>717</v>
      </c>
      <c r="R83" t="s">
        <v>329</v>
      </c>
      <c r="S83" t="s">
        <v>717</v>
      </c>
      <c r="T83" t="s">
        <v>32</v>
      </c>
      <c r="U83" t="s">
        <v>717</v>
      </c>
      <c r="V83" t="s">
        <v>32</v>
      </c>
      <c r="W83" t="s">
        <v>717</v>
      </c>
      <c r="X83" t="s">
        <v>39</v>
      </c>
      <c r="Y83" t="s">
        <v>32</v>
      </c>
      <c r="Z83" t="s">
        <v>433</v>
      </c>
      <c r="AA83">
        <v>4</v>
      </c>
    </row>
    <row r="84" spans="1:27" x14ac:dyDescent="0.25">
      <c r="A84" t="s">
        <v>434</v>
      </c>
      <c r="B84" t="s">
        <v>29</v>
      </c>
      <c r="C84" t="s">
        <v>46</v>
      </c>
      <c r="D84" t="s">
        <v>435</v>
      </c>
      <c r="E84" t="s">
        <v>329</v>
      </c>
      <c r="F84" t="s">
        <v>329</v>
      </c>
      <c r="G84" t="s">
        <v>329</v>
      </c>
      <c r="H84" t="s">
        <v>329</v>
      </c>
      <c r="I84" t="s">
        <v>722</v>
      </c>
      <c r="J84" t="s">
        <v>32</v>
      </c>
      <c r="K84" t="s">
        <v>156</v>
      </c>
      <c r="L84" t="s">
        <v>39</v>
      </c>
      <c r="M84" t="s">
        <v>156</v>
      </c>
      <c r="N84">
        <v>10</v>
      </c>
      <c r="O84" t="s">
        <v>32</v>
      </c>
      <c r="P84" t="s">
        <v>329</v>
      </c>
      <c r="Q84" t="s">
        <v>329</v>
      </c>
      <c r="R84" t="s">
        <v>329</v>
      </c>
      <c r="S84" t="s">
        <v>329</v>
      </c>
      <c r="T84" t="s">
        <v>329</v>
      </c>
      <c r="U84" t="s">
        <v>329</v>
      </c>
      <c r="V84" t="s">
        <v>329</v>
      </c>
      <c r="W84" t="s">
        <v>717</v>
      </c>
      <c r="X84" t="s">
        <v>43</v>
      </c>
      <c r="Y84" t="s">
        <v>747</v>
      </c>
      <c r="Z84" t="s">
        <v>436</v>
      </c>
      <c r="AA84">
        <v>1</v>
      </c>
    </row>
    <row r="85" spans="1:27" x14ac:dyDescent="0.25">
      <c r="A85" t="s">
        <v>437</v>
      </c>
      <c r="B85" t="s">
        <v>29</v>
      </c>
      <c r="C85" t="s">
        <v>204</v>
      </c>
      <c r="D85" t="s">
        <v>31</v>
      </c>
      <c r="E85" t="s">
        <v>32</v>
      </c>
      <c r="F85" t="s">
        <v>723</v>
      </c>
      <c r="G85" t="s">
        <v>723</v>
      </c>
      <c r="H85" t="s">
        <v>329</v>
      </c>
      <c r="I85" t="s">
        <v>729</v>
      </c>
      <c r="J85" t="s">
        <v>32</v>
      </c>
      <c r="K85" t="s">
        <v>438</v>
      </c>
      <c r="L85" t="s">
        <v>39</v>
      </c>
      <c r="M85" t="s">
        <v>439</v>
      </c>
      <c r="N85">
        <v>8</v>
      </c>
      <c r="O85" t="s">
        <v>32</v>
      </c>
      <c r="P85" t="s">
        <v>329</v>
      </c>
      <c r="Q85" t="s">
        <v>329</v>
      </c>
      <c r="R85" t="s">
        <v>329</v>
      </c>
      <c r="S85" t="s">
        <v>329</v>
      </c>
      <c r="T85" t="s">
        <v>329</v>
      </c>
      <c r="U85" t="s">
        <v>329</v>
      </c>
      <c r="V85" t="s">
        <v>329</v>
      </c>
      <c r="X85" t="s">
        <v>43</v>
      </c>
      <c r="Y85" t="s">
        <v>747</v>
      </c>
      <c r="Z85" t="s">
        <v>440</v>
      </c>
      <c r="AA85">
        <v>5</v>
      </c>
    </row>
    <row r="86" spans="1:27" x14ac:dyDescent="0.25">
      <c r="A86" t="s">
        <v>441</v>
      </c>
      <c r="B86" t="s">
        <v>84</v>
      </c>
      <c r="C86" t="s">
        <v>46</v>
      </c>
      <c r="D86" t="s">
        <v>31</v>
      </c>
      <c r="E86" t="s">
        <v>329</v>
      </c>
      <c r="F86" t="s">
        <v>732</v>
      </c>
      <c r="G86" t="s">
        <v>717</v>
      </c>
      <c r="H86" t="s">
        <v>717</v>
      </c>
      <c r="I86" t="s">
        <v>720</v>
      </c>
      <c r="J86" t="s">
        <v>329</v>
      </c>
      <c r="K86" t="s">
        <v>442</v>
      </c>
      <c r="L86" t="s">
        <v>39</v>
      </c>
      <c r="M86" t="s">
        <v>187</v>
      </c>
      <c r="N86">
        <v>8</v>
      </c>
      <c r="O86" t="s">
        <v>329</v>
      </c>
      <c r="P86" t="s">
        <v>329</v>
      </c>
      <c r="Q86" t="s">
        <v>329</v>
      </c>
      <c r="R86" t="s">
        <v>329</v>
      </c>
      <c r="S86" t="s">
        <v>329</v>
      </c>
      <c r="T86" t="s">
        <v>329</v>
      </c>
      <c r="U86" t="s">
        <v>329</v>
      </c>
      <c r="V86" t="s">
        <v>329</v>
      </c>
      <c r="W86" t="s">
        <v>329</v>
      </c>
      <c r="X86" t="s">
        <v>43</v>
      </c>
      <c r="Y86" t="s">
        <v>329</v>
      </c>
      <c r="Z86" t="s">
        <v>443</v>
      </c>
      <c r="AA86">
        <v>1</v>
      </c>
    </row>
    <row r="87" spans="1:27" x14ac:dyDescent="0.25">
      <c r="A87" t="s">
        <v>444</v>
      </c>
      <c r="B87" t="s">
        <v>84</v>
      </c>
      <c r="C87" t="s">
        <v>46</v>
      </c>
      <c r="D87" t="s">
        <v>31</v>
      </c>
      <c r="E87" t="s">
        <v>369</v>
      </c>
      <c r="F87" t="s">
        <v>369</v>
      </c>
      <c r="G87" t="s">
        <v>369</v>
      </c>
      <c r="H87" t="s">
        <v>369</v>
      </c>
      <c r="I87" t="s">
        <v>720</v>
      </c>
      <c r="J87" t="s">
        <v>369</v>
      </c>
      <c r="K87" t="s">
        <v>446</v>
      </c>
      <c r="L87" t="s">
        <v>39</v>
      </c>
      <c r="M87" t="s">
        <v>447</v>
      </c>
      <c r="N87">
        <v>10</v>
      </c>
      <c r="O87" t="s">
        <v>448</v>
      </c>
      <c r="P87" t="s">
        <v>369</v>
      </c>
      <c r="Q87" t="s">
        <v>369</v>
      </c>
      <c r="R87" t="s">
        <v>369</v>
      </c>
      <c r="S87" t="s">
        <v>369</v>
      </c>
      <c r="T87" t="s">
        <v>369</v>
      </c>
      <c r="U87" t="s">
        <v>369</v>
      </c>
      <c r="V87" t="s">
        <v>369</v>
      </c>
      <c r="W87" t="s">
        <v>369</v>
      </c>
      <c r="X87" t="s">
        <v>43</v>
      </c>
      <c r="Y87" t="s">
        <v>747</v>
      </c>
      <c r="Z87" t="s">
        <v>449</v>
      </c>
      <c r="AA87">
        <v>5</v>
      </c>
    </row>
    <row r="88" spans="1:27" x14ac:dyDescent="0.25">
      <c r="A88" t="s">
        <v>450</v>
      </c>
      <c r="B88" t="s">
        <v>29</v>
      </c>
      <c r="C88" t="s">
        <v>46</v>
      </c>
      <c r="D88" t="s">
        <v>31</v>
      </c>
      <c r="E88" t="s">
        <v>736</v>
      </c>
      <c r="F88" t="s">
        <v>723</v>
      </c>
      <c r="G88" t="s">
        <v>329</v>
      </c>
      <c r="H88" t="s">
        <v>329</v>
      </c>
      <c r="I88" t="s">
        <v>722</v>
      </c>
      <c r="J88" t="s">
        <v>32</v>
      </c>
      <c r="K88" t="s">
        <v>452</v>
      </c>
      <c r="L88" t="s">
        <v>39</v>
      </c>
      <c r="M88" t="s">
        <v>453</v>
      </c>
      <c r="N88">
        <v>8</v>
      </c>
      <c r="O88" t="s">
        <v>369</v>
      </c>
      <c r="P88" t="s">
        <v>32</v>
      </c>
      <c r="Q88" t="s">
        <v>329</v>
      </c>
      <c r="R88" t="s">
        <v>32</v>
      </c>
      <c r="S88" t="s">
        <v>32</v>
      </c>
      <c r="T88" t="s">
        <v>32</v>
      </c>
      <c r="U88" t="s">
        <v>32</v>
      </c>
      <c r="V88" t="s">
        <v>329</v>
      </c>
      <c r="W88" t="s">
        <v>32</v>
      </c>
      <c r="X88" t="s">
        <v>43</v>
      </c>
      <c r="Y88" t="s">
        <v>747</v>
      </c>
      <c r="Z88" t="s">
        <v>454</v>
      </c>
      <c r="AA88">
        <v>4</v>
      </c>
    </row>
    <row r="89" spans="1:27" x14ac:dyDescent="0.25">
      <c r="A89" t="s">
        <v>455</v>
      </c>
      <c r="B89" t="s">
        <v>84</v>
      </c>
      <c r="C89" t="s">
        <v>46</v>
      </c>
      <c r="D89" t="s">
        <v>31</v>
      </c>
      <c r="E89" t="s">
        <v>329</v>
      </c>
      <c r="F89" t="s">
        <v>329</v>
      </c>
      <c r="G89" t="s">
        <v>329</v>
      </c>
      <c r="H89" t="s">
        <v>329</v>
      </c>
      <c r="I89" t="s">
        <v>731</v>
      </c>
      <c r="J89" t="s">
        <v>329</v>
      </c>
      <c r="K89" t="s">
        <v>457</v>
      </c>
      <c r="L89" t="s">
        <v>43</v>
      </c>
      <c r="M89" t="s">
        <v>458</v>
      </c>
      <c r="N89">
        <v>5</v>
      </c>
      <c r="O89" t="s">
        <v>32</v>
      </c>
      <c r="P89" t="s">
        <v>32</v>
      </c>
      <c r="Q89" t="s">
        <v>329</v>
      </c>
      <c r="R89" t="s">
        <v>329</v>
      </c>
      <c r="S89" t="s">
        <v>32</v>
      </c>
      <c r="T89" t="s">
        <v>369</v>
      </c>
      <c r="U89" t="s">
        <v>329</v>
      </c>
      <c r="V89" t="s">
        <v>32</v>
      </c>
      <c r="W89" t="s">
        <v>32</v>
      </c>
      <c r="X89" t="s">
        <v>89</v>
      </c>
      <c r="Y89" t="s">
        <v>747</v>
      </c>
      <c r="Z89" t="s">
        <v>459</v>
      </c>
      <c r="AA89">
        <v>1</v>
      </c>
    </row>
    <row r="90" spans="1:27" x14ac:dyDescent="0.25">
      <c r="A90" t="s">
        <v>460</v>
      </c>
      <c r="B90" t="s">
        <v>84</v>
      </c>
      <c r="C90" t="s">
        <v>46</v>
      </c>
      <c r="D90" t="s">
        <v>31</v>
      </c>
      <c r="E90" t="s">
        <v>32</v>
      </c>
      <c r="F90" t="s">
        <v>737</v>
      </c>
      <c r="G90" t="s">
        <v>737</v>
      </c>
      <c r="H90" t="s">
        <v>369</v>
      </c>
      <c r="I90" t="s">
        <v>720</v>
      </c>
      <c r="J90" t="s">
        <v>32</v>
      </c>
      <c r="K90" t="s">
        <v>462</v>
      </c>
      <c r="L90" t="s">
        <v>39</v>
      </c>
      <c r="M90" t="s">
        <v>463</v>
      </c>
      <c r="N90">
        <v>10</v>
      </c>
      <c r="O90" t="s">
        <v>717</v>
      </c>
      <c r="P90" t="s">
        <v>369</v>
      </c>
      <c r="Q90" t="s">
        <v>717</v>
      </c>
      <c r="R90" t="s">
        <v>32</v>
      </c>
      <c r="S90" t="s">
        <v>369</v>
      </c>
      <c r="T90" t="s">
        <v>369</v>
      </c>
      <c r="U90" t="s">
        <v>369</v>
      </c>
      <c r="V90" t="s">
        <v>369</v>
      </c>
      <c r="W90" t="s">
        <v>369</v>
      </c>
      <c r="X90" t="s">
        <v>43</v>
      </c>
      <c r="Y90" t="s">
        <v>32</v>
      </c>
      <c r="Z90" t="s">
        <v>464</v>
      </c>
      <c r="AA90">
        <v>5</v>
      </c>
    </row>
    <row r="91" spans="1:27" x14ac:dyDescent="0.25">
      <c r="A91" t="s">
        <v>465</v>
      </c>
      <c r="B91" t="s">
        <v>29</v>
      </c>
      <c r="C91" t="s">
        <v>126</v>
      </c>
      <c r="D91" t="s">
        <v>31</v>
      </c>
      <c r="E91" t="s">
        <v>329</v>
      </c>
      <c r="F91" t="s">
        <v>723</v>
      </c>
      <c r="G91" t="s">
        <v>723</v>
      </c>
      <c r="H91" t="s">
        <v>32</v>
      </c>
      <c r="I91" t="s">
        <v>720</v>
      </c>
      <c r="J91" t="s">
        <v>329</v>
      </c>
      <c r="K91" t="s">
        <v>466</v>
      </c>
      <c r="L91" t="s">
        <v>43</v>
      </c>
      <c r="M91" t="s">
        <v>467</v>
      </c>
      <c r="N91">
        <v>9</v>
      </c>
      <c r="O91" t="s">
        <v>717</v>
      </c>
      <c r="P91" t="s">
        <v>32</v>
      </c>
      <c r="Q91" t="s">
        <v>32</v>
      </c>
      <c r="R91" t="s">
        <v>32</v>
      </c>
      <c r="S91" t="s">
        <v>32</v>
      </c>
      <c r="T91" t="s">
        <v>32</v>
      </c>
      <c r="U91" t="s">
        <v>32</v>
      </c>
      <c r="V91" t="s">
        <v>32</v>
      </c>
      <c r="W91" t="s">
        <v>717</v>
      </c>
      <c r="X91" t="s">
        <v>43</v>
      </c>
      <c r="Y91" t="s">
        <v>747</v>
      </c>
      <c r="Z91" t="s">
        <v>468</v>
      </c>
      <c r="AA91">
        <v>1</v>
      </c>
    </row>
    <row r="92" spans="1:27" x14ac:dyDescent="0.25">
      <c r="A92" t="s">
        <v>469</v>
      </c>
      <c r="B92" t="s">
        <v>29</v>
      </c>
      <c r="C92" t="s">
        <v>46</v>
      </c>
      <c r="D92" t="s">
        <v>31</v>
      </c>
      <c r="E92" t="s">
        <v>329</v>
      </c>
      <c r="F92" t="s">
        <v>721</v>
      </c>
      <c r="G92" t="s">
        <v>721</v>
      </c>
      <c r="H92" t="s">
        <v>329</v>
      </c>
      <c r="I92" t="s">
        <v>720</v>
      </c>
      <c r="J92" t="s">
        <v>329</v>
      </c>
      <c r="K92" t="s">
        <v>470</v>
      </c>
      <c r="L92" t="s">
        <v>39</v>
      </c>
      <c r="M92" t="s">
        <v>471</v>
      </c>
      <c r="N92">
        <v>8</v>
      </c>
      <c r="O92" t="s">
        <v>329</v>
      </c>
      <c r="P92" t="s">
        <v>329</v>
      </c>
      <c r="Q92" t="s">
        <v>329</v>
      </c>
      <c r="R92" t="s">
        <v>329</v>
      </c>
      <c r="S92" t="s">
        <v>329</v>
      </c>
      <c r="T92" t="s">
        <v>329</v>
      </c>
      <c r="U92" t="s">
        <v>329</v>
      </c>
      <c r="V92" t="s">
        <v>329</v>
      </c>
      <c r="W92" t="s">
        <v>329</v>
      </c>
      <c r="X92" t="s">
        <v>39</v>
      </c>
      <c r="Y92" t="s">
        <v>329</v>
      </c>
      <c r="Z92" t="s">
        <v>472</v>
      </c>
      <c r="AA92">
        <v>5</v>
      </c>
    </row>
    <row r="93" spans="1:27" x14ac:dyDescent="0.25">
      <c r="A93" t="s">
        <v>473</v>
      </c>
      <c r="B93" t="s">
        <v>29</v>
      </c>
      <c r="C93" t="s">
        <v>46</v>
      </c>
      <c r="D93" t="s">
        <v>31</v>
      </c>
      <c r="E93" t="s">
        <v>329</v>
      </c>
      <c r="F93" t="s">
        <v>721</v>
      </c>
      <c r="G93" t="s">
        <v>721</v>
      </c>
      <c r="H93" t="s">
        <v>369</v>
      </c>
      <c r="I93" t="s">
        <v>720</v>
      </c>
      <c r="J93" t="s">
        <v>329</v>
      </c>
      <c r="K93" t="s">
        <v>132</v>
      </c>
      <c r="L93" t="s">
        <v>39</v>
      </c>
      <c r="M93" t="s">
        <v>474</v>
      </c>
      <c r="N93">
        <v>10</v>
      </c>
      <c r="O93" t="s">
        <v>369</v>
      </c>
      <c r="P93" t="s">
        <v>369</v>
      </c>
      <c r="Q93" t="s">
        <v>369</v>
      </c>
      <c r="R93" t="s">
        <v>369</v>
      </c>
      <c r="S93" t="s">
        <v>369</v>
      </c>
      <c r="T93" t="s">
        <v>369</v>
      </c>
      <c r="U93" t="s">
        <v>369</v>
      </c>
      <c r="V93" t="s">
        <v>369</v>
      </c>
      <c r="W93" t="s">
        <v>369</v>
      </c>
      <c r="X93" t="s">
        <v>39</v>
      </c>
      <c r="Y93" t="s">
        <v>369</v>
      </c>
      <c r="Z93" t="s">
        <v>475</v>
      </c>
      <c r="AA93">
        <v>10</v>
      </c>
    </row>
    <row r="94" spans="1:27" x14ac:dyDescent="0.25">
      <c r="A94" t="s">
        <v>119</v>
      </c>
      <c r="B94" t="s">
        <v>29</v>
      </c>
      <c r="C94" t="s">
        <v>46</v>
      </c>
      <c r="D94" t="s">
        <v>31</v>
      </c>
      <c r="E94" t="s">
        <v>329</v>
      </c>
      <c r="F94" t="s">
        <v>723</v>
      </c>
      <c r="G94" t="s">
        <v>723</v>
      </c>
      <c r="H94" t="s">
        <v>329</v>
      </c>
      <c r="I94" t="s">
        <v>720</v>
      </c>
      <c r="J94" t="s">
        <v>329</v>
      </c>
      <c r="K94" t="s">
        <v>476</v>
      </c>
      <c r="L94" t="s">
        <v>39</v>
      </c>
      <c r="M94" t="s">
        <v>477</v>
      </c>
      <c r="N94">
        <v>10</v>
      </c>
      <c r="O94" t="s">
        <v>32</v>
      </c>
      <c r="P94" t="s">
        <v>329</v>
      </c>
      <c r="Q94" t="s">
        <v>329</v>
      </c>
      <c r="R94" t="s">
        <v>329</v>
      </c>
      <c r="S94" t="s">
        <v>329</v>
      </c>
      <c r="T94" t="s">
        <v>329</v>
      </c>
      <c r="U94" t="s">
        <v>329</v>
      </c>
      <c r="V94" t="s">
        <v>329</v>
      </c>
      <c r="W94" t="s">
        <v>329</v>
      </c>
      <c r="X94" t="s">
        <v>43</v>
      </c>
      <c r="Y94" t="s">
        <v>747</v>
      </c>
      <c r="Z94" t="s">
        <v>478</v>
      </c>
      <c r="AA94">
        <v>1</v>
      </c>
    </row>
    <row r="95" spans="1:27" x14ac:dyDescent="0.25">
      <c r="A95" t="s">
        <v>479</v>
      </c>
      <c r="B95" t="s">
        <v>84</v>
      </c>
      <c r="C95" t="s">
        <v>46</v>
      </c>
      <c r="D95" t="s">
        <v>31</v>
      </c>
      <c r="E95" t="s">
        <v>329</v>
      </c>
      <c r="F95" t="s">
        <v>715</v>
      </c>
      <c r="G95" t="s">
        <v>726</v>
      </c>
      <c r="H95" t="s">
        <v>329</v>
      </c>
      <c r="I95" t="s">
        <v>716</v>
      </c>
      <c r="J95" t="s">
        <v>329</v>
      </c>
      <c r="K95" t="s">
        <v>480</v>
      </c>
      <c r="L95" t="s">
        <v>39</v>
      </c>
      <c r="M95" t="s">
        <v>481</v>
      </c>
      <c r="N95">
        <v>6</v>
      </c>
      <c r="O95" t="s">
        <v>32</v>
      </c>
      <c r="P95" t="s">
        <v>32</v>
      </c>
      <c r="Q95" t="s">
        <v>32</v>
      </c>
      <c r="R95" t="s">
        <v>32</v>
      </c>
      <c r="S95" t="s">
        <v>717</v>
      </c>
      <c r="T95" t="s">
        <v>32</v>
      </c>
      <c r="U95" t="s">
        <v>717</v>
      </c>
      <c r="V95" t="s">
        <v>717</v>
      </c>
      <c r="W95" t="s">
        <v>717</v>
      </c>
      <c r="X95" t="s">
        <v>89</v>
      </c>
      <c r="Y95" t="s">
        <v>32</v>
      </c>
      <c r="Z95" t="s">
        <v>482</v>
      </c>
      <c r="AA95">
        <v>4</v>
      </c>
    </row>
    <row r="96" spans="1:27" x14ac:dyDescent="0.25">
      <c r="A96" t="s">
        <v>483</v>
      </c>
      <c r="B96" t="s">
        <v>29</v>
      </c>
      <c r="C96" t="s">
        <v>46</v>
      </c>
      <c r="D96" t="s">
        <v>31</v>
      </c>
      <c r="E96" t="s">
        <v>329</v>
      </c>
      <c r="F96" t="s">
        <v>732</v>
      </c>
      <c r="G96" t="s">
        <v>732</v>
      </c>
      <c r="H96" t="s">
        <v>369</v>
      </c>
      <c r="I96" t="s">
        <v>720</v>
      </c>
      <c r="J96" t="s">
        <v>329</v>
      </c>
      <c r="K96" t="s">
        <v>484</v>
      </c>
      <c r="L96" t="s">
        <v>39</v>
      </c>
      <c r="M96" t="s">
        <v>485</v>
      </c>
      <c r="N96">
        <v>10</v>
      </c>
      <c r="O96" t="s">
        <v>32</v>
      </c>
      <c r="P96" t="s">
        <v>369</v>
      </c>
      <c r="Q96" t="s">
        <v>369</v>
      </c>
      <c r="R96" t="s">
        <v>32</v>
      </c>
      <c r="S96" t="s">
        <v>369</v>
      </c>
      <c r="T96" t="s">
        <v>717</v>
      </c>
      <c r="U96" t="s">
        <v>369</v>
      </c>
      <c r="V96" t="s">
        <v>369</v>
      </c>
      <c r="W96" t="s">
        <v>717</v>
      </c>
      <c r="X96" t="s">
        <v>39</v>
      </c>
      <c r="Y96" t="s">
        <v>32</v>
      </c>
      <c r="Z96" t="s">
        <v>486</v>
      </c>
      <c r="AA96">
        <v>7</v>
      </c>
    </row>
    <row r="97" spans="1:27" x14ac:dyDescent="0.25">
      <c r="A97" t="s">
        <v>487</v>
      </c>
      <c r="B97" t="s">
        <v>29</v>
      </c>
      <c r="C97" t="s">
        <v>46</v>
      </c>
      <c r="D97" t="s">
        <v>31</v>
      </c>
      <c r="E97" t="s">
        <v>329</v>
      </c>
      <c r="F97" t="s">
        <v>329</v>
      </c>
      <c r="G97" t="s">
        <v>723</v>
      </c>
      <c r="H97" t="s">
        <v>329</v>
      </c>
      <c r="I97" t="s">
        <v>720</v>
      </c>
      <c r="J97" t="s">
        <v>329</v>
      </c>
      <c r="K97" t="s">
        <v>41</v>
      </c>
      <c r="L97" t="s">
        <v>39</v>
      </c>
      <c r="M97" t="s">
        <v>489</v>
      </c>
      <c r="N97">
        <v>2</v>
      </c>
      <c r="O97" t="s">
        <v>32</v>
      </c>
      <c r="P97" t="s">
        <v>329</v>
      </c>
      <c r="Q97" t="s">
        <v>329</v>
      </c>
      <c r="R97" t="s">
        <v>32</v>
      </c>
      <c r="S97" t="s">
        <v>329</v>
      </c>
      <c r="T97" t="s">
        <v>32</v>
      </c>
      <c r="U97" t="s">
        <v>32</v>
      </c>
      <c r="V97" t="s">
        <v>329</v>
      </c>
      <c r="W97" t="s">
        <v>329</v>
      </c>
      <c r="X97" t="s">
        <v>39</v>
      </c>
      <c r="Y97" t="s">
        <v>329</v>
      </c>
      <c r="Z97" t="s">
        <v>39</v>
      </c>
      <c r="AA97">
        <v>1</v>
      </c>
    </row>
    <row r="98" spans="1:27" x14ac:dyDescent="0.25">
      <c r="A98" t="s">
        <v>490</v>
      </c>
      <c r="B98" t="s">
        <v>29</v>
      </c>
      <c r="C98" t="s">
        <v>46</v>
      </c>
      <c r="D98" t="s">
        <v>31</v>
      </c>
      <c r="E98" t="s">
        <v>329</v>
      </c>
      <c r="F98" t="s">
        <v>721</v>
      </c>
      <c r="G98" t="s">
        <v>719</v>
      </c>
      <c r="H98" t="s">
        <v>329</v>
      </c>
      <c r="I98" t="s">
        <v>720</v>
      </c>
      <c r="J98" t="s">
        <v>32</v>
      </c>
      <c r="K98" t="s">
        <v>492</v>
      </c>
      <c r="L98" t="s">
        <v>39</v>
      </c>
      <c r="M98" t="s">
        <v>492</v>
      </c>
      <c r="N98">
        <v>9</v>
      </c>
      <c r="O98" t="s">
        <v>752</v>
      </c>
      <c r="P98" t="s">
        <v>329</v>
      </c>
      <c r="Q98" t="s">
        <v>329</v>
      </c>
      <c r="R98" t="s">
        <v>329</v>
      </c>
      <c r="S98" t="s">
        <v>329</v>
      </c>
      <c r="T98" t="s">
        <v>329</v>
      </c>
      <c r="U98" t="s">
        <v>329</v>
      </c>
      <c r="V98" t="s">
        <v>329</v>
      </c>
      <c r="W98" t="s">
        <v>329</v>
      </c>
      <c r="X98" t="s">
        <v>43</v>
      </c>
      <c r="Y98" t="s">
        <v>747</v>
      </c>
      <c r="Z98" t="s">
        <v>493</v>
      </c>
      <c r="AA98">
        <v>5</v>
      </c>
    </row>
    <row r="99" spans="1:27" x14ac:dyDescent="0.25">
      <c r="A99" t="s">
        <v>494</v>
      </c>
      <c r="B99" t="s">
        <v>29</v>
      </c>
      <c r="C99" t="s">
        <v>46</v>
      </c>
      <c r="D99" t="s">
        <v>31</v>
      </c>
      <c r="E99" t="s">
        <v>329</v>
      </c>
      <c r="F99" t="s">
        <v>329</v>
      </c>
      <c r="G99" t="s">
        <v>329</v>
      </c>
      <c r="H99" t="s">
        <v>329</v>
      </c>
      <c r="I99" t="s">
        <v>718</v>
      </c>
      <c r="J99" t="s">
        <v>32</v>
      </c>
      <c r="K99" t="s">
        <v>495</v>
      </c>
      <c r="L99" t="s">
        <v>39</v>
      </c>
      <c r="M99" t="s">
        <v>496</v>
      </c>
      <c r="N99">
        <v>4</v>
      </c>
      <c r="O99" t="s">
        <v>32</v>
      </c>
      <c r="P99" t="s">
        <v>329</v>
      </c>
      <c r="Q99" t="s">
        <v>329</v>
      </c>
      <c r="R99" t="s">
        <v>329</v>
      </c>
      <c r="S99" t="s">
        <v>329</v>
      </c>
      <c r="T99" t="s">
        <v>329</v>
      </c>
      <c r="U99" t="s">
        <v>329</v>
      </c>
      <c r="V99" t="s">
        <v>329</v>
      </c>
      <c r="W99" t="s">
        <v>329</v>
      </c>
      <c r="X99" t="s">
        <v>43</v>
      </c>
      <c r="Y99" t="s">
        <v>32</v>
      </c>
      <c r="Z99" t="s">
        <v>497</v>
      </c>
      <c r="AA99">
        <v>5</v>
      </c>
    </row>
    <row r="100" spans="1:27" x14ac:dyDescent="0.25">
      <c r="A100" t="s">
        <v>498</v>
      </c>
      <c r="B100" t="s">
        <v>29</v>
      </c>
      <c r="C100" t="s">
        <v>46</v>
      </c>
      <c r="D100" t="s">
        <v>31</v>
      </c>
      <c r="E100" t="s">
        <v>329</v>
      </c>
      <c r="F100" t="s">
        <v>715</v>
      </c>
      <c r="G100" t="s">
        <v>715</v>
      </c>
      <c r="H100" t="s">
        <v>329</v>
      </c>
      <c r="I100" t="s">
        <v>731</v>
      </c>
      <c r="J100" t="s">
        <v>32</v>
      </c>
      <c r="K100" t="s">
        <v>499</v>
      </c>
      <c r="L100" t="s">
        <v>39</v>
      </c>
      <c r="M100" t="s">
        <v>500</v>
      </c>
      <c r="N100">
        <v>7</v>
      </c>
      <c r="O100" t="s">
        <v>717</v>
      </c>
      <c r="P100" t="s">
        <v>329</v>
      </c>
      <c r="Q100" t="s">
        <v>32</v>
      </c>
      <c r="R100" t="s">
        <v>329</v>
      </c>
      <c r="S100" t="s">
        <v>329</v>
      </c>
      <c r="T100" t="s">
        <v>717</v>
      </c>
      <c r="U100" t="s">
        <v>329</v>
      </c>
      <c r="V100" t="s">
        <v>329</v>
      </c>
      <c r="W100" t="s">
        <v>32</v>
      </c>
      <c r="X100" t="s">
        <v>39</v>
      </c>
      <c r="Y100" t="s">
        <v>32</v>
      </c>
      <c r="Z100" t="s">
        <v>501</v>
      </c>
      <c r="AA100">
        <v>5</v>
      </c>
    </row>
    <row r="101" spans="1:27" x14ac:dyDescent="0.25">
      <c r="A101" t="s">
        <v>502</v>
      </c>
      <c r="B101" t="s">
        <v>29</v>
      </c>
      <c r="C101" t="s">
        <v>204</v>
      </c>
      <c r="D101" t="s">
        <v>31</v>
      </c>
      <c r="E101" t="s">
        <v>32</v>
      </c>
      <c r="F101" t="s">
        <v>369</v>
      </c>
      <c r="G101" t="s">
        <v>369</v>
      </c>
      <c r="H101" t="s">
        <v>369</v>
      </c>
      <c r="I101" t="s">
        <v>716</v>
      </c>
      <c r="J101" t="s">
        <v>369</v>
      </c>
      <c r="K101" t="s">
        <v>503</v>
      </c>
      <c r="L101" t="s">
        <v>39</v>
      </c>
      <c r="M101" t="s">
        <v>504</v>
      </c>
      <c r="N101">
        <v>10</v>
      </c>
      <c r="O101" t="s">
        <v>32</v>
      </c>
      <c r="P101" t="s">
        <v>369</v>
      </c>
      <c r="Q101" t="s">
        <v>32</v>
      </c>
      <c r="R101" t="s">
        <v>32</v>
      </c>
      <c r="S101" t="s">
        <v>32</v>
      </c>
      <c r="T101" t="s">
        <v>32</v>
      </c>
      <c r="U101" t="s">
        <v>32</v>
      </c>
      <c r="V101" t="s">
        <v>32</v>
      </c>
      <c r="W101" t="s">
        <v>369</v>
      </c>
      <c r="X101" t="s">
        <v>43</v>
      </c>
      <c r="Y101" t="s">
        <v>32</v>
      </c>
      <c r="Z101" t="s">
        <v>505</v>
      </c>
      <c r="AA101">
        <v>6</v>
      </c>
    </row>
    <row r="102" spans="1:27" x14ac:dyDescent="0.25">
      <c r="A102" t="s">
        <v>506</v>
      </c>
      <c r="B102" t="s">
        <v>29</v>
      </c>
      <c r="C102" t="s">
        <v>46</v>
      </c>
      <c r="D102" t="s">
        <v>31</v>
      </c>
      <c r="E102" t="s">
        <v>329</v>
      </c>
      <c r="F102" t="s">
        <v>721</v>
      </c>
      <c r="G102" t="s">
        <v>725</v>
      </c>
      <c r="H102" t="s">
        <v>369</v>
      </c>
      <c r="I102" t="s">
        <v>720</v>
      </c>
      <c r="J102" t="s">
        <v>329</v>
      </c>
      <c r="K102" t="s">
        <v>507</v>
      </c>
      <c r="L102" t="s">
        <v>43</v>
      </c>
      <c r="M102" t="s">
        <v>508</v>
      </c>
      <c r="N102">
        <v>5</v>
      </c>
      <c r="O102" t="s">
        <v>32</v>
      </c>
      <c r="P102" t="s">
        <v>32</v>
      </c>
      <c r="Q102" t="s">
        <v>32</v>
      </c>
      <c r="R102" t="s">
        <v>329</v>
      </c>
      <c r="S102" t="s">
        <v>32</v>
      </c>
      <c r="T102" t="s">
        <v>32</v>
      </c>
      <c r="U102" t="s">
        <v>329</v>
      </c>
      <c r="V102" t="s">
        <v>329</v>
      </c>
      <c r="W102" t="s">
        <v>717</v>
      </c>
      <c r="X102" t="s">
        <v>43</v>
      </c>
      <c r="Y102" t="s">
        <v>747</v>
      </c>
      <c r="Z102" t="s">
        <v>509</v>
      </c>
      <c r="AA102">
        <v>1</v>
      </c>
    </row>
    <row r="103" spans="1:27" x14ac:dyDescent="0.25">
      <c r="A103" t="s">
        <v>510</v>
      </c>
      <c r="B103" t="s">
        <v>29</v>
      </c>
      <c r="C103" t="s">
        <v>46</v>
      </c>
      <c r="D103" t="s">
        <v>31</v>
      </c>
      <c r="E103" t="s">
        <v>329</v>
      </c>
      <c r="F103" t="s">
        <v>723</v>
      </c>
      <c r="G103" t="s">
        <v>723</v>
      </c>
      <c r="H103" t="s">
        <v>329</v>
      </c>
      <c r="I103" t="s">
        <v>720</v>
      </c>
      <c r="J103" t="s">
        <v>32</v>
      </c>
      <c r="K103" t="s">
        <v>511</v>
      </c>
      <c r="L103" t="s">
        <v>39</v>
      </c>
      <c r="M103" t="s">
        <v>512</v>
      </c>
      <c r="N103">
        <v>8</v>
      </c>
      <c r="O103" t="s">
        <v>369</v>
      </c>
      <c r="P103" t="s">
        <v>32</v>
      </c>
      <c r="Q103" t="s">
        <v>329</v>
      </c>
      <c r="R103" t="s">
        <v>329</v>
      </c>
      <c r="S103" t="s">
        <v>32</v>
      </c>
      <c r="T103" t="s">
        <v>329</v>
      </c>
      <c r="U103" t="s">
        <v>32</v>
      </c>
      <c r="V103" t="s">
        <v>329</v>
      </c>
      <c r="W103" t="s">
        <v>329</v>
      </c>
      <c r="X103" t="s">
        <v>39</v>
      </c>
      <c r="Y103" t="s">
        <v>32</v>
      </c>
      <c r="Z103" t="s">
        <v>513</v>
      </c>
      <c r="AA103">
        <v>5</v>
      </c>
    </row>
    <row r="104" spans="1:27" x14ac:dyDescent="0.25">
      <c r="A104" t="s">
        <v>514</v>
      </c>
      <c r="B104" t="s">
        <v>29</v>
      </c>
      <c r="C104" t="s">
        <v>46</v>
      </c>
      <c r="D104" t="s">
        <v>31</v>
      </c>
      <c r="E104" t="s">
        <v>329</v>
      </c>
      <c r="F104" t="s">
        <v>369</v>
      </c>
      <c r="G104" t="s">
        <v>725</v>
      </c>
      <c r="H104" t="s">
        <v>369</v>
      </c>
      <c r="I104" t="s">
        <v>720</v>
      </c>
      <c r="J104" t="s">
        <v>32</v>
      </c>
      <c r="K104" t="s">
        <v>515</v>
      </c>
      <c r="L104" t="s">
        <v>39</v>
      </c>
      <c r="M104" t="s">
        <v>515</v>
      </c>
      <c r="N104">
        <v>10</v>
      </c>
      <c r="O104" t="s">
        <v>369</v>
      </c>
      <c r="P104" t="s">
        <v>369</v>
      </c>
      <c r="Q104" t="s">
        <v>369</v>
      </c>
      <c r="R104" t="s">
        <v>369</v>
      </c>
      <c r="S104" t="s">
        <v>369</v>
      </c>
      <c r="T104" t="s">
        <v>369</v>
      </c>
      <c r="U104" t="s">
        <v>369</v>
      </c>
      <c r="V104" t="s">
        <v>369</v>
      </c>
      <c r="W104" t="s">
        <v>369</v>
      </c>
      <c r="X104" t="s">
        <v>89</v>
      </c>
      <c r="Y104" t="s">
        <v>747</v>
      </c>
      <c r="Z104" t="s">
        <v>516</v>
      </c>
      <c r="AA104">
        <v>4</v>
      </c>
    </row>
    <row r="105" spans="1:27" x14ac:dyDescent="0.25">
      <c r="A105" t="s">
        <v>517</v>
      </c>
      <c r="B105" t="s">
        <v>84</v>
      </c>
      <c r="C105" t="s">
        <v>46</v>
      </c>
      <c r="D105" t="s">
        <v>389</v>
      </c>
      <c r="E105" t="s">
        <v>32</v>
      </c>
      <c r="F105" t="s">
        <v>723</v>
      </c>
      <c r="G105" t="s">
        <v>723</v>
      </c>
      <c r="H105" t="s">
        <v>32</v>
      </c>
      <c r="I105" t="s">
        <v>720</v>
      </c>
      <c r="J105" t="s">
        <v>329</v>
      </c>
      <c r="K105" t="s">
        <v>518</v>
      </c>
      <c r="L105" t="s">
        <v>39</v>
      </c>
      <c r="M105" t="s">
        <v>519</v>
      </c>
      <c r="N105">
        <v>8</v>
      </c>
      <c r="O105" t="s">
        <v>717</v>
      </c>
      <c r="P105" t="s">
        <v>32</v>
      </c>
      <c r="Q105" t="s">
        <v>32</v>
      </c>
      <c r="R105" t="s">
        <v>329</v>
      </c>
      <c r="S105" t="s">
        <v>329</v>
      </c>
      <c r="T105" t="s">
        <v>32</v>
      </c>
      <c r="U105" t="s">
        <v>32</v>
      </c>
      <c r="V105" t="s">
        <v>32</v>
      </c>
      <c r="W105" t="s">
        <v>329</v>
      </c>
      <c r="X105" t="s">
        <v>43</v>
      </c>
      <c r="Y105" t="s">
        <v>32</v>
      </c>
      <c r="Z105" t="s">
        <v>520</v>
      </c>
      <c r="AA105">
        <v>1</v>
      </c>
    </row>
    <row r="106" spans="1:27" x14ac:dyDescent="0.25">
      <c r="A106" t="s">
        <v>521</v>
      </c>
      <c r="B106" t="s">
        <v>29</v>
      </c>
      <c r="C106" t="s">
        <v>204</v>
      </c>
      <c r="D106" t="s">
        <v>31</v>
      </c>
      <c r="E106" t="s">
        <v>32</v>
      </c>
      <c r="F106" t="s">
        <v>32</v>
      </c>
      <c r="G106" t="s">
        <v>32</v>
      </c>
      <c r="H106" t="s">
        <v>32</v>
      </c>
      <c r="I106" t="s">
        <v>720</v>
      </c>
      <c r="J106" t="s">
        <v>329</v>
      </c>
      <c r="K106" t="s">
        <v>522</v>
      </c>
      <c r="L106" t="s">
        <v>39</v>
      </c>
      <c r="M106" t="s">
        <v>523</v>
      </c>
      <c r="N106">
        <v>10</v>
      </c>
      <c r="O106" t="s">
        <v>746</v>
      </c>
      <c r="P106" t="s">
        <v>32</v>
      </c>
      <c r="Q106" t="s">
        <v>32</v>
      </c>
      <c r="R106" t="s">
        <v>32</v>
      </c>
      <c r="S106" t="s">
        <v>32</v>
      </c>
      <c r="T106" t="s">
        <v>32</v>
      </c>
      <c r="U106" t="s">
        <v>32</v>
      </c>
      <c r="V106" t="s">
        <v>32</v>
      </c>
      <c r="W106" t="s">
        <v>32</v>
      </c>
      <c r="X106" t="s">
        <v>43</v>
      </c>
      <c r="Y106" t="s">
        <v>747</v>
      </c>
      <c r="Z106" t="s">
        <v>525</v>
      </c>
      <c r="AA106">
        <v>7</v>
      </c>
    </row>
    <row r="107" spans="1:27" x14ac:dyDescent="0.25">
      <c r="A107" t="s">
        <v>526</v>
      </c>
      <c r="B107" t="s">
        <v>29</v>
      </c>
      <c r="C107" t="s">
        <v>46</v>
      </c>
      <c r="D107" t="s">
        <v>31</v>
      </c>
      <c r="E107" t="s">
        <v>329</v>
      </c>
      <c r="F107" t="s">
        <v>723</v>
      </c>
      <c r="G107" t="s">
        <v>723</v>
      </c>
      <c r="H107" t="s">
        <v>32</v>
      </c>
      <c r="I107" t="s">
        <v>720</v>
      </c>
      <c r="J107" t="s">
        <v>329</v>
      </c>
      <c r="K107" t="s">
        <v>527</v>
      </c>
      <c r="L107" t="s">
        <v>39</v>
      </c>
      <c r="M107" t="s">
        <v>132</v>
      </c>
      <c r="N107">
        <v>6</v>
      </c>
      <c r="O107" t="s">
        <v>329</v>
      </c>
      <c r="P107" t="s">
        <v>329</v>
      </c>
      <c r="Q107" t="s">
        <v>329</v>
      </c>
      <c r="R107" t="s">
        <v>329</v>
      </c>
      <c r="S107" t="s">
        <v>329</v>
      </c>
      <c r="T107" t="s">
        <v>329</v>
      </c>
      <c r="U107" t="s">
        <v>329</v>
      </c>
      <c r="V107" t="s">
        <v>329</v>
      </c>
      <c r="W107" t="s">
        <v>329</v>
      </c>
      <c r="X107" t="s">
        <v>43</v>
      </c>
      <c r="Y107" t="s">
        <v>747</v>
      </c>
      <c r="Z107" t="s">
        <v>43</v>
      </c>
      <c r="AA107">
        <v>10</v>
      </c>
    </row>
    <row r="108" spans="1:27" x14ac:dyDescent="0.25">
      <c r="A108" t="s">
        <v>528</v>
      </c>
      <c r="B108" t="s">
        <v>29</v>
      </c>
      <c r="C108" t="s">
        <v>46</v>
      </c>
      <c r="D108" t="s">
        <v>31</v>
      </c>
      <c r="E108" t="s">
        <v>329</v>
      </c>
      <c r="F108" t="s">
        <v>723</v>
      </c>
      <c r="G108" t="s">
        <v>723</v>
      </c>
      <c r="H108" t="s">
        <v>329</v>
      </c>
      <c r="I108" t="s">
        <v>718</v>
      </c>
      <c r="J108" t="s">
        <v>32</v>
      </c>
      <c r="K108" t="s">
        <v>530</v>
      </c>
      <c r="L108" t="s">
        <v>39</v>
      </c>
      <c r="M108" t="s">
        <v>531</v>
      </c>
      <c r="N108">
        <v>8</v>
      </c>
      <c r="O108" t="s">
        <v>32</v>
      </c>
      <c r="P108" t="s">
        <v>329</v>
      </c>
      <c r="Q108" t="s">
        <v>329</v>
      </c>
      <c r="R108" t="s">
        <v>32</v>
      </c>
      <c r="S108" t="s">
        <v>329</v>
      </c>
      <c r="T108" t="s">
        <v>329</v>
      </c>
      <c r="U108" t="s">
        <v>329</v>
      </c>
      <c r="V108" t="s">
        <v>329</v>
      </c>
      <c r="W108" t="s">
        <v>717</v>
      </c>
      <c r="X108" t="s">
        <v>43</v>
      </c>
      <c r="Y108" t="s">
        <v>747</v>
      </c>
      <c r="Z108" t="s">
        <v>532</v>
      </c>
      <c r="AA108">
        <v>6</v>
      </c>
    </row>
    <row r="109" spans="1:27" x14ac:dyDescent="0.25">
      <c r="A109" t="s">
        <v>533</v>
      </c>
      <c r="B109" t="s">
        <v>29</v>
      </c>
      <c r="C109" t="s">
        <v>46</v>
      </c>
      <c r="D109" t="s">
        <v>31</v>
      </c>
      <c r="E109" t="s">
        <v>32</v>
      </c>
      <c r="F109" t="s">
        <v>32</v>
      </c>
      <c r="G109" t="s">
        <v>32</v>
      </c>
      <c r="H109" t="s">
        <v>32</v>
      </c>
      <c r="I109" t="s">
        <v>731</v>
      </c>
      <c r="J109" t="s">
        <v>32</v>
      </c>
      <c r="K109" t="s">
        <v>534</v>
      </c>
      <c r="L109" t="s">
        <v>39</v>
      </c>
      <c r="M109" t="s">
        <v>535</v>
      </c>
      <c r="N109">
        <v>3</v>
      </c>
      <c r="O109" t="s">
        <v>32</v>
      </c>
      <c r="P109" t="s">
        <v>32</v>
      </c>
      <c r="Q109" t="s">
        <v>32</v>
      </c>
      <c r="R109" t="s">
        <v>32</v>
      </c>
      <c r="S109" t="s">
        <v>32</v>
      </c>
      <c r="T109" t="s">
        <v>32</v>
      </c>
      <c r="U109" t="s">
        <v>32</v>
      </c>
      <c r="V109" t="s">
        <v>32</v>
      </c>
      <c r="W109" t="s">
        <v>32</v>
      </c>
      <c r="X109" t="s">
        <v>43</v>
      </c>
      <c r="Y109" t="s">
        <v>32</v>
      </c>
      <c r="Z109" t="s">
        <v>536</v>
      </c>
      <c r="AA109">
        <v>9</v>
      </c>
    </row>
    <row r="110" spans="1:27" x14ac:dyDescent="0.25">
      <c r="A110" t="s">
        <v>537</v>
      </c>
      <c r="B110" t="s">
        <v>29</v>
      </c>
      <c r="C110" t="s">
        <v>46</v>
      </c>
      <c r="D110" t="s">
        <v>389</v>
      </c>
      <c r="E110" t="s">
        <v>32</v>
      </c>
      <c r="F110" t="s">
        <v>32</v>
      </c>
      <c r="G110" t="s">
        <v>715</v>
      </c>
      <c r="H110" t="s">
        <v>32</v>
      </c>
      <c r="I110" t="s">
        <v>720</v>
      </c>
      <c r="J110" t="s">
        <v>32</v>
      </c>
      <c r="K110" t="s">
        <v>538</v>
      </c>
      <c r="L110" t="s">
        <v>39</v>
      </c>
      <c r="M110" t="s">
        <v>539</v>
      </c>
      <c r="N110">
        <v>10</v>
      </c>
      <c r="O110" t="s">
        <v>329</v>
      </c>
      <c r="P110" t="s">
        <v>32</v>
      </c>
      <c r="Q110" t="s">
        <v>32</v>
      </c>
      <c r="R110" t="s">
        <v>329</v>
      </c>
      <c r="S110" t="s">
        <v>32</v>
      </c>
      <c r="T110" t="s">
        <v>32</v>
      </c>
      <c r="U110" t="s">
        <v>32</v>
      </c>
      <c r="V110" t="s">
        <v>32</v>
      </c>
      <c r="W110" t="s">
        <v>32</v>
      </c>
      <c r="X110" t="s">
        <v>39</v>
      </c>
      <c r="Y110" t="s">
        <v>32</v>
      </c>
      <c r="Z110" t="s">
        <v>540</v>
      </c>
      <c r="AA110">
        <v>7</v>
      </c>
    </row>
    <row r="111" spans="1:27" x14ac:dyDescent="0.25">
      <c r="A111" t="s">
        <v>541</v>
      </c>
      <c r="B111" t="s">
        <v>29</v>
      </c>
      <c r="C111" t="s">
        <v>46</v>
      </c>
      <c r="D111" t="s">
        <v>31</v>
      </c>
      <c r="E111" t="s">
        <v>329</v>
      </c>
      <c r="F111" t="s">
        <v>329</v>
      </c>
      <c r="G111" t="s">
        <v>329</v>
      </c>
      <c r="H111" t="s">
        <v>329</v>
      </c>
      <c r="I111" t="s">
        <v>720</v>
      </c>
      <c r="J111" t="s">
        <v>329</v>
      </c>
      <c r="K111" t="s">
        <v>55</v>
      </c>
      <c r="L111" t="s">
        <v>39</v>
      </c>
      <c r="M111" t="s">
        <v>542</v>
      </c>
      <c r="N111">
        <v>3</v>
      </c>
      <c r="O111" t="s">
        <v>329</v>
      </c>
      <c r="P111" t="s">
        <v>329</v>
      </c>
      <c r="Q111" t="s">
        <v>329</v>
      </c>
      <c r="R111" t="s">
        <v>329</v>
      </c>
      <c r="S111" t="s">
        <v>329</v>
      </c>
      <c r="T111" t="s">
        <v>329</v>
      </c>
      <c r="U111" t="s">
        <v>329</v>
      </c>
      <c r="V111" t="s">
        <v>329</v>
      </c>
      <c r="W111" t="s">
        <v>329</v>
      </c>
      <c r="X111" t="s">
        <v>39</v>
      </c>
      <c r="Y111" t="s">
        <v>329</v>
      </c>
      <c r="Z111" t="s">
        <v>543</v>
      </c>
      <c r="AA111">
        <v>1</v>
      </c>
    </row>
    <row r="112" spans="1:27" x14ac:dyDescent="0.25">
      <c r="A112" t="s">
        <v>544</v>
      </c>
      <c r="B112" t="s">
        <v>29</v>
      </c>
      <c r="C112" t="s">
        <v>46</v>
      </c>
      <c r="D112" t="s">
        <v>31</v>
      </c>
      <c r="E112" t="s">
        <v>329</v>
      </c>
      <c r="F112" t="s">
        <v>721</v>
      </c>
      <c r="G112" t="s">
        <v>721</v>
      </c>
      <c r="H112" t="s">
        <v>717</v>
      </c>
      <c r="I112" t="s">
        <v>716</v>
      </c>
      <c r="J112" t="s">
        <v>329</v>
      </c>
      <c r="K112" t="s">
        <v>545</v>
      </c>
      <c r="L112" t="s">
        <v>39</v>
      </c>
      <c r="M112" t="s">
        <v>546</v>
      </c>
      <c r="N112">
        <v>9</v>
      </c>
      <c r="O112" t="s">
        <v>369</v>
      </c>
      <c r="P112" t="s">
        <v>329</v>
      </c>
      <c r="Q112" t="s">
        <v>717</v>
      </c>
      <c r="R112" t="s">
        <v>329</v>
      </c>
      <c r="S112" t="s">
        <v>717</v>
      </c>
      <c r="T112" t="s">
        <v>717</v>
      </c>
      <c r="U112" t="s">
        <v>717</v>
      </c>
      <c r="V112" t="s">
        <v>717</v>
      </c>
      <c r="W112" t="s">
        <v>717</v>
      </c>
      <c r="X112" t="s">
        <v>39</v>
      </c>
      <c r="Y112" t="s">
        <v>32</v>
      </c>
      <c r="Z112" t="s">
        <v>547</v>
      </c>
      <c r="AA112">
        <v>7</v>
      </c>
    </row>
    <row r="113" spans="1:27" x14ac:dyDescent="0.25">
      <c r="A113" t="s">
        <v>548</v>
      </c>
      <c r="B113" t="s">
        <v>29</v>
      </c>
      <c r="C113" t="s">
        <v>46</v>
      </c>
      <c r="D113" t="s">
        <v>549</v>
      </c>
      <c r="E113" t="s">
        <v>329</v>
      </c>
      <c r="F113" t="s">
        <v>329</v>
      </c>
      <c r="G113" t="s">
        <v>329</v>
      </c>
      <c r="H113" t="s">
        <v>329</v>
      </c>
      <c r="I113" t="s">
        <v>729</v>
      </c>
      <c r="J113" t="s">
        <v>329</v>
      </c>
      <c r="K113" t="s">
        <v>551</v>
      </c>
      <c r="L113" t="s">
        <v>43</v>
      </c>
      <c r="M113" t="s">
        <v>552</v>
      </c>
      <c r="N113">
        <v>8</v>
      </c>
      <c r="O113" t="s">
        <v>746</v>
      </c>
      <c r="P113" t="s">
        <v>329</v>
      </c>
      <c r="Q113" t="s">
        <v>32</v>
      </c>
      <c r="R113" t="s">
        <v>329</v>
      </c>
      <c r="S113" t="s">
        <v>329</v>
      </c>
      <c r="T113" t="s">
        <v>329</v>
      </c>
      <c r="U113" t="s">
        <v>329</v>
      </c>
      <c r="V113" t="s">
        <v>32</v>
      </c>
      <c r="W113" t="s">
        <v>717</v>
      </c>
      <c r="X113" t="s">
        <v>43</v>
      </c>
      <c r="Y113" t="s">
        <v>747</v>
      </c>
      <c r="Z113" t="s">
        <v>554</v>
      </c>
      <c r="AA113">
        <v>5</v>
      </c>
    </row>
    <row r="114" spans="1:27" x14ac:dyDescent="0.25">
      <c r="A114" t="s">
        <v>555</v>
      </c>
      <c r="B114" t="s">
        <v>84</v>
      </c>
      <c r="C114" t="s">
        <v>46</v>
      </c>
      <c r="D114" t="s">
        <v>350</v>
      </c>
      <c r="E114" t="s">
        <v>32</v>
      </c>
      <c r="F114" t="s">
        <v>329</v>
      </c>
      <c r="G114" t="s">
        <v>329</v>
      </c>
      <c r="H114" t="s">
        <v>329</v>
      </c>
      <c r="I114" t="s">
        <v>720</v>
      </c>
      <c r="J114" t="s">
        <v>369</v>
      </c>
      <c r="K114" t="s">
        <v>556</v>
      </c>
      <c r="L114" t="s">
        <v>39</v>
      </c>
      <c r="M114" t="s">
        <v>132</v>
      </c>
      <c r="N114">
        <v>9</v>
      </c>
      <c r="O114" t="s">
        <v>717</v>
      </c>
      <c r="P114" t="s">
        <v>329</v>
      </c>
      <c r="Q114" t="s">
        <v>329</v>
      </c>
      <c r="R114" t="s">
        <v>329</v>
      </c>
      <c r="S114" t="s">
        <v>329</v>
      </c>
      <c r="T114" t="s">
        <v>329</v>
      </c>
      <c r="U114" t="s">
        <v>329</v>
      </c>
      <c r="V114" t="s">
        <v>329</v>
      </c>
      <c r="W114" t="s">
        <v>329</v>
      </c>
      <c r="X114" t="s">
        <v>39</v>
      </c>
      <c r="Y114" t="s">
        <v>32</v>
      </c>
      <c r="Z114" t="s">
        <v>557</v>
      </c>
      <c r="AA114">
        <v>8</v>
      </c>
    </row>
    <row r="115" spans="1:27" x14ac:dyDescent="0.25">
      <c r="A115" t="s">
        <v>558</v>
      </c>
      <c r="B115" t="s">
        <v>84</v>
      </c>
      <c r="C115" t="s">
        <v>46</v>
      </c>
      <c r="D115" t="s">
        <v>31</v>
      </c>
      <c r="E115" t="s">
        <v>369</v>
      </c>
      <c r="F115" t="s">
        <v>725</v>
      </c>
      <c r="G115" t="s">
        <v>369</v>
      </c>
      <c r="H115" t="s">
        <v>369</v>
      </c>
      <c r="I115" t="s">
        <v>722</v>
      </c>
      <c r="J115" t="s">
        <v>329</v>
      </c>
      <c r="K115" t="s">
        <v>559</v>
      </c>
      <c r="L115" t="s">
        <v>39</v>
      </c>
      <c r="M115" t="s">
        <v>560</v>
      </c>
      <c r="N115">
        <v>7</v>
      </c>
      <c r="O115" t="s">
        <v>746</v>
      </c>
      <c r="P115" t="s">
        <v>369</v>
      </c>
      <c r="Q115" t="s">
        <v>369</v>
      </c>
      <c r="R115" t="s">
        <v>369</v>
      </c>
      <c r="S115" t="s">
        <v>369</v>
      </c>
      <c r="T115" t="s">
        <v>369</v>
      </c>
      <c r="U115" t="s">
        <v>369</v>
      </c>
      <c r="V115" t="s">
        <v>369</v>
      </c>
      <c r="W115" t="s">
        <v>369</v>
      </c>
      <c r="X115" t="s">
        <v>43</v>
      </c>
      <c r="Y115" t="s">
        <v>747</v>
      </c>
      <c r="Z115" t="s">
        <v>561</v>
      </c>
      <c r="AA115">
        <v>4</v>
      </c>
    </row>
    <row r="116" spans="1:27" x14ac:dyDescent="0.25">
      <c r="A116" t="s">
        <v>562</v>
      </c>
      <c r="B116" t="s">
        <v>563</v>
      </c>
      <c r="C116" t="s">
        <v>46</v>
      </c>
      <c r="D116" t="s">
        <v>31</v>
      </c>
      <c r="E116" t="s">
        <v>329</v>
      </c>
      <c r="F116" t="s">
        <v>726</v>
      </c>
      <c r="G116" t="s">
        <v>717</v>
      </c>
      <c r="H116" t="s">
        <v>717</v>
      </c>
      <c r="I116" t="s">
        <v>720</v>
      </c>
      <c r="J116" t="s">
        <v>329</v>
      </c>
      <c r="K116" t="s">
        <v>564</v>
      </c>
      <c r="L116" t="s">
        <v>39</v>
      </c>
      <c r="M116" t="s">
        <v>565</v>
      </c>
      <c r="N116">
        <v>10</v>
      </c>
      <c r="O116" t="s">
        <v>329</v>
      </c>
      <c r="P116" t="s">
        <v>329</v>
      </c>
      <c r="Q116" t="s">
        <v>329</v>
      </c>
      <c r="R116" t="s">
        <v>329</v>
      </c>
      <c r="S116" t="s">
        <v>329</v>
      </c>
      <c r="T116" t="s">
        <v>329</v>
      </c>
      <c r="U116" t="s">
        <v>329</v>
      </c>
      <c r="V116" t="s">
        <v>329</v>
      </c>
      <c r="W116" t="s">
        <v>329</v>
      </c>
      <c r="X116" t="s">
        <v>39</v>
      </c>
      <c r="Y116" t="s">
        <v>32</v>
      </c>
      <c r="Z116" t="s">
        <v>566</v>
      </c>
      <c r="AA116">
        <v>10</v>
      </c>
    </row>
    <row r="117" spans="1:27" x14ac:dyDescent="0.25">
      <c r="A117" t="s">
        <v>567</v>
      </c>
      <c r="B117" t="s">
        <v>84</v>
      </c>
      <c r="C117" t="s">
        <v>46</v>
      </c>
      <c r="D117" t="s">
        <v>31</v>
      </c>
      <c r="E117" t="s">
        <v>329</v>
      </c>
      <c r="F117" t="s">
        <v>723</v>
      </c>
      <c r="G117" t="s">
        <v>329</v>
      </c>
      <c r="H117" t="s">
        <v>329</v>
      </c>
      <c r="I117" t="s">
        <v>722</v>
      </c>
      <c r="J117" t="s">
        <v>32</v>
      </c>
      <c r="K117" t="s">
        <v>568</v>
      </c>
      <c r="L117" t="s">
        <v>39</v>
      </c>
      <c r="M117" t="s">
        <v>569</v>
      </c>
      <c r="N117">
        <v>10</v>
      </c>
      <c r="O117" t="s">
        <v>32</v>
      </c>
      <c r="P117" t="s">
        <v>329</v>
      </c>
      <c r="Q117" t="s">
        <v>329</v>
      </c>
      <c r="R117" t="s">
        <v>329</v>
      </c>
      <c r="S117" t="s">
        <v>329</v>
      </c>
      <c r="T117" t="s">
        <v>329</v>
      </c>
      <c r="U117" t="s">
        <v>329</v>
      </c>
      <c r="V117" t="s">
        <v>329</v>
      </c>
      <c r="W117" t="s">
        <v>329</v>
      </c>
      <c r="X117" t="s">
        <v>43</v>
      </c>
      <c r="Y117" t="s">
        <v>32</v>
      </c>
      <c r="Z117" t="s">
        <v>570</v>
      </c>
      <c r="AA117">
        <v>10</v>
      </c>
    </row>
    <row r="118" spans="1:27" x14ac:dyDescent="0.25">
      <c r="A118" t="s">
        <v>571</v>
      </c>
      <c r="B118" t="s">
        <v>84</v>
      </c>
      <c r="C118" t="s">
        <v>204</v>
      </c>
      <c r="D118" t="s">
        <v>31</v>
      </c>
      <c r="E118" t="s">
        <v>329</v>
      </c>
      <c r="F118" t="s">
        <v>329</v>
      </c>
      <c r="G118" t="s">
        <v>329</v>
      </c>
      <c r="H118" t="s">
        <v>329</v>
      </c>
      <c r="I118" t="s">
        <v>720</v>
      </c>
      <c r="J118" t="s">
        <v>329</v>
      </c>
      <c r="K118" t="s">
        <v>572</v>
      </c>
      <c r="L118" t="s">
        <v>39</v>
      </c>
      <c r="M118" t="s">
        <v>573</v>
      </c>
      <c r="N118">
        <v>9</v>
      </c>
      <c r="O118" t="s">
        <v>746</v>
      </c>
      <c r="P118" t="s">
        <v>329</v>
      </c>
      <c r="Q118" t="s">
        <v>329</v>
      </c>
      <c r="R118" t="s">
        <v>329</v>
      </c>
      <c r="S118" t="s">
        <v>329</v>
      </c>
      <c r="T118" t="s">
        <v>329</v>
      </c>
      <c r="U118" t="s">
        <v>329</v>
      </c>
      <c r="V118" t="s">
        <v>329</v>
      </c>
      <c r="W118" t="s">
        <v>329</v>
      </c>
      <c r="X118" t="s">
        <v>43</v>
      </c>
      <c r="Y118" t="s">
        <v>747</v>
      </c>
      <c r="Z118" t="s">
        <v>575</v>
      </c>
      <c r="AA118">
        <v>3</v>
      </c>
    </row>
    <row r="119" spans="1:27" x14ac:dyDescent="0.25">
      <c r="A119" t="s">
        <v>576</v>
      </c>
      <c r="B119" t="s">
        <v>84</v>
      </c>
      <c r="C119" t="s">
        <v>46</v>
      </c>
      <c r="D119" t="s">
        <v>31</v>
      </c>
      <c r="E119" t="s">
        <v>329</v>
      </c>
      <c r="F119" t="s">
        <v>723</v>
      </c>
      <c r="G119" t="s">
        <v>723</v>
      </c>
      <c r="H119" t="s">
        <v>329</v>
      </c>
      <c r="I119" t="s">
        <v>720</v>
      </c>
      <c r="J119" t="s">
        <v>32</v>
      </c>
      <c r="K119" t="s">
        <v>577</v>
      </c>
      <c r="L119" t="s">
        <v>39</v>
      </c>
      <c r="M119" t="s">
        <v>578</v>
      </c>
      <c r="N119">
        <v>7</v>
      </c>
      <c r="O119" t="s">
        <v>32</v>
      </c>
      <c r="P119" t="s">
        <v>329</v>
      </c>
      <c r="Q119" t="s">
        <v>329</v>
      </c>
      <c r="R119" t="s">
        <v>329</v>
      </c>
      <c r="S119" t="s">
        <v>329</v>
      </c>
      <c r="T119" t="s">
        <v>329</v>
      </c>
      <c r="U119" t="s">
        <v>329</v>
      </c>
      <c r="V119" t="s">
        <v>329</v>
      </c>
      <c r="W119" t="s">
        <v>329</v>
      </c>
      <c r="X119" t="s">
        <v>89</v>
      </c>
      <c r="Y119" t="s">
        <v>747</v>
      </c>
      <c r="Z119" t="s">
        <v>579</v>
      </c>
      <c r="AA119">
        <v>5</v>
      </c>
    </row>
    <row r="120" spans="1:27" x14ac:dyDescent="0.25">
      <c r="A120" t="s">
        <v>580</v>
      </c>
      <c r="B120" t="s">
        <v>29</v>
      </c>
      <c r="C120" t="s">
        <v>46</v>
      </c>
      <c r="D120" t="s">
        <v>31</v>
      </c>
      <c r="E120" t="s">
        <v>329</v>
      </c>
      <c r="F120" t="s">
        <v>32</v>
      </c>
      <c r="G120" t="s">
        <v>32</v>
      </c>
      <c r="H120" t="s">
        <v>32</v>
      </c>
      <c r="I120" t="s">
        <v>731</v>
      </c>
      <c r="J120" t="s">
        <v>32</v>
      </c>
      <c r="K120" t="s">
        <v>581</v>
      </c>
      <c r="L120" t="s">
        <v>39</v>
      </c>
      <c r="M120" t="s">
        <v>582</v>
      </c>
      <c r="N120">
        <v>8</v>
      </c>
      <c r="O120" t="s">
        <v>32</v>
      </c>
      <c r="P120" t="s">
        <v>32</v>
      </c>
      <c r="Q120" t="s">
        <v>32</v>
      </c>
      <c r="R120" t="s">
        <v>32</v>
      </c>
      <c r="S120" t="s">
        <v>32</v>
      </c>
      <c r="T120" t="s">
        <v>32</v>
      </c>
      <c r="U120" t="s">
        <v>32</v>
      </c>
      <c r="V120" t="s">
        <v>32</v>
      </c>
      <c r="W120" t="s">
        <v>32</v>
      </c>
      <c r="X120" t="s">
        <v>89</v>
      </c>
      <c r="Y120" t="s">
        <v>32</v>
      </c>
      <c r="Z120" t="s">
        <v>583</v>
      </c>
      <c r="AA120">
        <v>9</v>
      </c>
    </row>
    <row r="121" spans="1:27" x14ac:dyDescent="0.25">
      <c r="A121" t="s">
        <v>584</v>
      </c>
      <c r="B121" t="s">
        <v>29</v>
      </c>
      <c r="C121" t="s">
        <v>46</v>
      </c>
      <c r="D121" t="s">
        <v>31</v>
      </c>
      <c r="E121" t="s">
        <v>329</v>
      </c>
      <c r="F121" t="s">
        <v>724</v>
      </c>
      <c r="G121" t="s">
        <v>723</v>
      </c>
      <c r="H121" t="s">
        <v>32</v>
      </c>
      <c r="I121" t="s">
        <v>722</v>
      </c>
      <c r="J121" t="s">
        <v>32</v>
      </c>
      <c r="K121" t="s">
        <v>585</v>
      </c>
      <c r="L121" t="s">
        <v>39</v>
      </c>
      <c r="M121" t="s">
        <v>586</v>
      </c>
      <c r="N121">
        <v>8</v>
      </c>
      <c r="O121" t="s">
        <v>32</v>
      </c>
      <c r="P121" t="s">
        <v>32</v>
      </c>
      <c r="Q121" t="s">
        <v>32</v>
      </c>
      <c r="R121" t="s">
        <v>32</v>
      </c>
      <c r="S121" t="s">
        <v>32</v>
      </c>
      <c r="T121" t="s">
        <v>32</v>
      </c>
      <c r="U121" t="s">
        <v>717</v>
      </c>
      <c r="V121" t="s">
        <v>32</v>
      </c>
      <c r="W121" t="s">
        <v>717</v>
      </c>
      <c r="X121" t="s">
        <v>43</v>
      </c>
      <c r="Y121" t="s">
        <v>747</v>
      </c>
      <c r="Z121" t="s">
        <v>587</v>
      </c>
      <c r="AA121">
        <v>3</v>
      </c>
    </row>
    <row r="122" spans="1:27" x14ac:dyDescent="0.25">
      <c r="A122" t="s">
        <v>588</v>
      </c>
      <c r="B122" t="s">
        <v>29</v>
      </c>
      <c r="C122" t="s">
        <v>46</v>
      </c>
      <c r="D122" t="s">
        <v>31</v>
      </c>
      <c r="E122" t="s">
        <v>32</v>
      </c>
      <c r="F122" t="s">
        <v>727</v>
      </c>
      <c r="G122" t="s">
        <v>727</v>
      </c>
      <c r="H122" t="s">
        <v>369</v>
      </c>
      <c r="I122" t="s">
        <v>720</v>
      </c>
      <c r="J122" t="s">
        <v>32</v>
      </c>
      <c r="K122" t="s">
        <v>589</v>
      </c>
      <c r="L122" t="s">
        <v>39</v>
      </c>
      <c r="M122" t="s">
        <v>590</v>
      </c>
      <c r="N122">
        <v>8</v>
      </c>
      <c r="O122" t="s">
        <v>329</v>
      </c>
      <c r="P122" t="s">
        <v>369</v>
      </c>
      <c r="Q122" t="s">
        <v>369</v>
      </c>
      <c r="R122" t="s">
        <v>329</v>
      </c>
      <c r="S122" t="s">
        <v>369</v>
      </c>
      <c r="T122" t="s">
        <v>369</v>
      </c>
      <c r="U122" t="s">
        <v>369</v>
      </c>
      <c r="V122" t="s">
        <v>369</v>
      </c>
      <c r="W122" t="s">
        <v>369</v>
      </c>
      <c r="X122" t="s">
        <v>43</v>
      </c>
      <c r="Y122" t="s">
        <v>747</v>
      </c>
      <c r="Z122" t="s">
        <v>591</v>
      </c>
      <c r="AA122">
        <v>1</v>
      </c>
    </row>
    <row r="123" spans="1:27" x14ac:dyDescent="0.25">
      <c r="A123" t="s">
        <v>592</v>
      </c>
      <c r="B123" t="s">
        <v>29</v>
      </c>
      <c r="C123" t="s">
        <v>46</v>
      </c>
      <c r="D123" t="s">
        <v>31</v>
      </c>
      <c r="E123" t="s">
        <v>32</v>
      </c>
      <c r="F123" t="s">
        <v>32</v>
      </c>
      <c r="G123" t="s">
        <v>32</v>
      </c>
      <c r="H123" t="s">
        <v>32</v>
      </c>
      <c r="I123" t="s">
        <v>720</v>
      </c>
      <c r="J123" t="s">
        <v>329</v>
      </c>
      <c r="K123" t="s">
        <v>593</v>
      </c>
      <c r="L123" t="s">
        <v>39</v>
      </c>
      <c r="M123" t="s">
        <v>594</v>
      </c>
      <c r="N123">
        <v>8</v>
      </c>
      <c r="O123" t="s">
        <v>329</v>
      </c>
      <c r="P123" t="s">
        <v>32</v>
      </c>
      <c r="Q123" t="s">
        <v>329</v>
      </c>
      <c r="R123" t="s">
        <v>32</v>
      </c>
      <c r="S123" t="s">
        <v>32</v>
      </c>
      <c r="T123" t="s">
        <v>32</v>
      </c>
      <c r="U123" t="s">
        <v>32</v>
      </c>
      <c r="V123" t="s">
        <v>32</v>
      </c>
      <c r="W123" t="s">
        <v>32</v>
      </c>
      <c r="X123" t="s">
        <v>43</v>
      </c>
      <c r="Y123" t="s">
        <v>747</v>
      </c>
      <c r="Z123" t="s">
        <v>595</v>
      </c>
      <c r="AA123">
        <v>6</v>
      </c>
    </row>
    <row r="124" spans="1:27" x14ac:dyDescent="0.25">
      <c r="A124" t="s">
        <v>596</v>
      </c>
      <c r="B124" t="s">
        <v>84</v>
      </c>
      <c r="C124" t="s">
        <v>46</v>
      </c>
      <c r="D124" t="s">
        <v>31</v>
      </c>
      <c r="E124" t="s">
        <v>329</v>
      </c>
      <c r="F124" t="s">
        <v>329</v>
      </c>
      <c r="G124" t="s">
        <v>329</v>
      </c>
      <c r="H124" t="s">
        <v>329</v>
      </c>
      <c r="I124" t="s">
        <v>731</v>
      </c>
      <c r="J124" t="s">
        <v>329</v>
      </c>
      <c r="K124" t="s">
        <v>597</v>
      </c>
      <c r="L124" t="s">
        <v>39</v>
      </c>
      <c r="M124" t="s">
        <v>598</v>
      </c>
      <c r="N124">
        <v>8</v>
      </c>
      <c r="O124" t="s">
        <v>329</v>
      </c>
      <c r="P124" t="s">
        <v>329</v>
      </c>
      <c r="Q124" t="s">
        <v>329</v>
      </c>
      <c r="R124" t="s">
        <v>329</v>
      </c>
      <c r="S124" t="s">
        <v>329</v>
      </c>
      <c r="T124" t="s">
        <v>329</v>
      </c>
      <c r="U124" t="s">
        <v>329</v>
      </c>
      <c r="V124" t="s">
        <v>329</v>
      </c>
      <c r="W124" t="s">
        <v>329</v>
      </c>
      <c r="X124" t="s">
        <v>43</v>
      </c>
      <c r="Y124" t="s">
        <v>747</v>
      </c>
      <c r="Z124" t="s">
        <v>599</v>
      </c>
      <c r="AA124">
        <v>7</v>
      </c>
    </row>
    <row r="125" spans="1:27" x14ac:dyDescent="0.25">
      <c r="A125" t="s">
        <v>600</v>
      </c>
      <c r="B125" t="s">
        <v>29</v>
      </c>
      <c r="C125" t="s">
        <v>46</v>
      </c>
      <c r="D125" t="s">
        <v>31</v>
      </c>
      <c r="E125" t="s">
        <v>329</v>
      </c>
      <c r="F125" t="s">
        <v>715</v>
      </c>
      <c r="G125" t="s">
        <v>715</v>
      </c>
      <c r="H125" t="s">
        <v>329</v>
      </c>
      <c r="I125" t="s">
        <v>720</v>
      </c>
      <c r="J125" t="s">
        <v>32</v>
      </c>
      <c r="K125" t="s">
        <v>601</v>
      </c>
      <c r="L125" t="s">
        <v>39</v>
      </c>
      <c r="M125" t="s">
        <v>602</v>
      </c>
      <c r="N125">
        <v>10</v>
      </c>
      <c r="O125" t="s">
        <v>369</v>
      </c>
      <c r="P125" t="s">
        <v>329</v>
      </c>
      <c r="Q125" t="s">
        <v>329</v>
      </c>
      <c r="R125" t="s">
        <v>329</v>
      </c>
      <c r="S125" t="s">
        <v>329</v>
      </c>
      <c r="T125" t="s">
        <v>329</v>
      </c>
      <c r="U125" t="s">
        <v>329</v>
      </c>
      <c r="V125" t="s">
        <v>717</v>
      </c>
      <c r="W125" t="s">
        <v>717</v>
      </c>
      <c r="X125" t="s">
        <v>43</v>
      </c>
      <c r="Y125" t="s">
        <v>747</v>
      </c>
      <c r="Z125" t="s">
        <v>603</v>
      </c>
      <c r="AA125">
        <v>5</v>
      </c>
    </row>
    <row r="126" spans="1:27" x14ac:dyDescent="0.25">
      <c r="A126" t="s">
        <v>604</v>
      </c>
      <c r="B126" t="s">
        <v>84</v>
      </c>
      <c r="C126" t="s">
        <v>46</v>
      </c>
      <c r="D126" t="s">
        <v>31</v>
      </c>
      <c r="E126" t="s">
        <v>329</v>
      </c>
      <c r="F126" t="s">
        <v>723</v>
      </c>
      <c r="G126" t="s">
        <v>329</v>
      </c>
      <c r="H126" t="s">
        <v>329</v>
      </c>
      <c r="I126" t="s">
        <v>730</v>
      </c>
      <c r="J126" t="s">
        <v>329</v>
      </c>
      <c r="K126" t="s">
        <v>605</v>
      </c>
      <c r="L126" t="s">
        <v>39</v>
      </c>
      <c r="M126" t="s">
        <v>606</v>
      </c>
      <c r="N126">
        <v>8</v>
      </c>
      <c r="O126" t="s">
        <v>329</v>
      </c>
      <c r="P126" t="s">
        <v>329</v>
      </c>
      <c r="Q126" t="s">
        <v>329</v>
      </c>
      <c r="R126" t="s">
        <v>329</v>
      </c>
      <c r="S126" t="s">
        <v>329</v>
      </c>
      <c r="T126" t="s">
        <v>329</v>
      </c>
      <c r="U126" t="s">
        <v>329</v>
      </c>
      <c r="V126" t="s">
        <v>329</v>
      </c>
      <c r="W126" t="s">
        <v>329</v>
      </c>
      <c r="X126" t="s">
        <v>43</v>
      </c>
      <c r="Y126" t="s">
        <v>747</v>
      </c>
      <c r="Z126" t="s">
        <v>607</v>
      </c>
      <c r="AA126">
        <v>5</v>
      </c>
    </row>
    <row r="127" spans="1:27" x14ac:dyDescent="0.25">
      <c r="A127" t="s">
        <v>608</v>
      </c>
      <c r="B127" t="s">
        <v>29</v>
      </c>
      <c r="C127" t="s">
        <v>46</v>
      </c>
      <c r="D127" t="s">
        <v>389</v>
      </c>
      <c r="E127" t="s">
        <v>32</v>
      </c>
      <c r="F127" t="s">
        <v>728</v>
      </c>
      <c r="G127" t="s">
        <v>32</v>
      </c>
      <c r="H127" t="s">
        <v>32</v>
      </c>
      <c r="I127" t="s">
        <v>720</v>
      </c>
      <c r="J127" t="s">
        <v>32</v>
      </c>
      <c r="K127" t="s">
        <v>609</v>
      </c>
      <c r="L127" t="s">
        <v>39</v>
      </c>
      <c r="M127" t="s">
        <v>610</v>
      </c>
      <c r="N127">
        <v>10</v>
      </c>
      <c r="O127" t="s">
        <v>717</v>
      </c>
      <c r="P127" t="s">
        <v>32</v>
      </c>
      <c r="Q127" t="s">
        <v>32</v>
      </c>
      <c r="R127" t="s">
        <v>32</v>
      </c>
      <c r="S127" t="s">
        <v>32</v>
      </c>
      <c r="T127" t="s">
        <v>32</v>
      </c>
      <c r="U127" t="s">
        <v>717</v>
      </c>
      <c r="V127" t="s">
        <v>717</v>
      </c>
      <c r="W127" t="s">
        <v>717</v>
      </c>
      <c r="X127" t="s">
        <v>39</v>
      </c>
      <c r="Y127" t="s">
        <v>32</v>
      </c>
      <c r="Z127" t="s">
        <v>611</v>
      </c>
      <c r="AA127">
        <v>10</v>
      </c>
    </row>
    <row r="128" spans="1:27" x14ac:dyDescent="0.25">
      <c r="A128" t="s">
        <v>612</v>
      </c>
      <c r="B128" t="s">
        <v>29</v>
      </c>
      <c r="C128" t="s">
        <v>46</v>
      </c>
      <c r="D128" t="s">
        <v>31</v>
      </c>
      <c r="E128" t="s">
        <v>329</v>
      </c>
      <c r="F128" t="s">
        <v>721</v>
      </c>
      <c r="G128" t="s">
        <v>732</v>
      </c>
      <c r="H128" t="s">
        <v>369</v>
      </c>
      <c r="I128" t="s">
        <v>720</v>
      </c>
      <c r="J128" t="s">
        <v>329</v>
      </c>
      <c r="K128" t="s">
        <v>613</v>
      </c>
      <c r="L128" t="s">
        <v>39</v>
      </c>
      <c r="M128" t="s">
        <v>614</v>
      </c>
      <c r="N128">
        <v>10</v>
      </c>
      <c r="O128" t="s">
        <v>32</v>
      </c>
      <c r="P128" t="s">
        <v>32</v>
      </c>
      <c r="Q128" t="s">
        <v>32</v>
      </c>
      <c r="R128" t="s">
        <v>32</v>
      </c>
      <c r="S128" t="s">
        <v>32</v>
      </c>
      <c r="T128" t="s">
        <v>32</v>
      </c>
      <c r="U128" t="s">
        <v>32</v>
      </c>
      <c r="V128" t="s">
        <v>369</v>
      </c>
      <c r="W128" t="s">
        <v>369</v>
      </c>
      <c r="X128" t="s">
        <v>39</v>
      </c>
      <c r="Y128" t="s">
        <v>32</v>
      </c>
      <c r="Z128" t="s">
        <v>615</v>
      </c>
      <c r="AA128">
        <v>5</v>
      </c>
    </row>
    <row r="129" spans="1:27" x14ac:dyDescent="0.25">
      <c r="A129" t="s">
        <v>616</v>
      </c>
      <c r="B129" t="s">
        <v>29</v>
      </c>
      <c r="C129" t="s">
        <v>46</v>
      </c>
      <c r="D129" t="s">
        <v>31</v>
      </c>
      <c r="E129" t="s">
        <v>32</v>
      </c>
      <c r="F129" t="s">
        <v>719</v>
      </c>
      <c r="G129" t="s">
        <v>369</v>
      </c>
      <c r="H129" t="s">
        <v>32</v>
      </c>
      <c r="I129" t="s">
        <v>718</v>
      </c>
      <c r="J129" t="s">
        <v>329</v>
      </c>
      <c r="K129" t="s">
        <v>617</v>
      </c>
      <c r="L129" t="s">
        <v>39</v>
      </c>
      <c r="M129" t="s">
        <v>74</v>
      </c>
      <c r="N129">
        <v>8</v>
      </c>
      <c r="O129" t="s">
        <v>369</v>
      </c>
      <c r="P129" t="s">
        <v>369</v>
      </c>
      <c r="Q129" t="s">
        <v>369</v>
      </c>
      <c r="R129" t="s">
        <v>369</v>
      </c>
      <c r="S129" t="s">
        <v>329</v>
      </c>
      <c r="T129" t="s">
        <v>369</v>
      </c>
      <c r="U129" t="s">
        <v>369</v>
      </c>
      <c r="V129" t="s">
        <v>369</v>
      </c>
      <c r="W129" t="s">
        <v>369</v>
      </c>
      <c r="X129" t="s">
        <v>89</v>
      </c>
      <c r="Y129" t="s">
        <v>32</v>
      </c>
      <c r="Z129" t="s">
        <v>618</v>
      </c>
      <c r="AA129">
        <v>5</v>
      </c>
    </row>
    <row r="130" spans="1:27" x14ac:dyDescent="0.25">
      <c r="A130" t="s">
        <v>619</v>
      </c>
      <c r="B130" t="s">
        <v>29</v>
      </c>
      <c r="C130" t="s">
        <v>46</v>
      </c>
      <c r="D130" t="s">
        <v>31</v>
      </c>
      <c r="E130" t="s">
        <v>329</v>
      </c>
      <c r="F130" t="s">
        <v>717</v>
      </c>
      <c r="G130" t="s">
        <v>717</v>
      </c>
      <c r="H130" t="s">
        <v>717</v>
      </c>
      <c r="I130" t="s">
        <v>720</v>
      </c>
      <c r="J130" t="s">
        <v>717</v>
      </c>
      <c r="K130" t="s">
        <v>620</v>
      </c>
      <c r="L130" t="s">
        <v>39</v>
      </c>
      <c r="M130" t="s">
        <v>621</v>
      </c>
      <c r="N130">
        <v>6</v>
      </c>
      <c r="O130" t="s">
        <v>329</v>
      </c>
      <c r="P130" t="s">
        <v>717</v>
      </c>
      <c r="Q130" t="s">
        <v>329</v>
      </c>
      <c r="R130" t="s">
        <v>32</v>
      </c>
      <c r="S130" t="s">
        <v>329</v>
      </c>
      <c r="T130" t="s">
        <v>717</v>
      </c>
      <c r="U130" t="s">
        <v>329</v>
      </c>
      <c r="V130" t="s">
        <v>717</v>
      </c>
      <c r="W130" t="s">
        <v>717</v>
      </c>
      <c r="X130" t="s">
        <v>43</v>
      </c>
      <c r="Y130" t="s">
        <v>747</v>
      </c>
      <c r="Z130" t="s">
        <v>622</v>
      </c>
      <c r="AA130">
        <v>3</v>
      </c>
    </row>
    <row r="131" spans="1:27" x14ac:dyDescent="0.25">
      <c r="A131" t="s">
        <v>623</v>
      </c>
      <c r="B131" t="s">
        <v>29</v>
      </c>
      <c r="C131" t="s">
        <v>46</v>
      </c>
      <c r="D131" t="s">
        <v>31</v>
      </c>
      <c r="E131" t="s">
        <v>32</v>
      </c>
      <c r="F131" t="s">
        <v>719</v>
      </c>
      <c r="G131" t="s">
        <v>723</v>
      </c>
      <c r="H131" t="s">
        <v>32</v>
      </c>
      <c r="I131" t="s">
        <v>720</v>
      </c>
      <c r="J131" t="s">
        <v>32</v>
      </c>
      <c r="K131" t="s">
        <v>624</v>
      </c>
      <c r="L131" t="s">
        <v>39</v>
      </c>
      <c r="M131" t="s">
        <v>625</v>
      </c>
      <c r="N131">
        <v>8</v>
      </c>
      <c r="O131" t="s">
        <v>329</v>
      </c>
      <c r="P131" t="s">
        <v>32</v>
      </c>
      <c r="Q131" t="s">
        <v>32</v>
      </c>
      <c r="R131" t="s">
        <v>32</v>
      </c>
      <c r="S131" t="s">
        <v>32</v>
      </c>
      <c r="T131" t="s">
        <v>32</v>
      </c>
      <c r="U131" t="s">
        <v>32</v>
      </c>
      <c r="V131" t="s">
        <v>32</v>
      </c>
      <c r="W131" t="s">
        <v>369</v>
      </c>
      <c r="X131" t="s">
        <v>39</v>
      </c>
      <c r="Y131" t="s">
        <v>32</v>
      </c>
      <c r="Z131" t="s">
        <v>626</v>
      </c>
      <c r="AA131">
        <v>9</v>
      </c>
    </row>
    <row r="132" spans="1:27" x14ac:dyDescent="0.25">
      <c r="A132" t="s">
        <v>627</v>
      </c>
      <c r="B132" t="s">
        <v>29</v>
      </c>
      <c r="C132" t="s">
        <v>628</v>
      </c>
      <c r="D132" t="s">
        <v>629</v>
      </c>
      <c r="E132" t="s">
        <v>329</v>
      </c>
      <c r="F132" t="s">
        <v>329</v>
      </c>
      <c r="G132" t="s">
        <v>329</v>
      </c>
      <c r="H132" t="s">
        <v>329</v>
      </c>
      <c r="I132" t="s">
        <v>718</v>
      </c>
      <c r="J132" t="s">
        <v>32</v>
      </c>
      <c r="K132" t="s">
        <v>631</v>
      </c>
      <c r="L132" t="s">
        <v>39</v>
      </c>
      <c r="M132" t="s">
        <v>631</v>
      </c>
      <c r="N132">
        <v>8</v>
      </c>
      <c r="O132" t="s">
        <v>32</v>
      </c>
      <c r="P132" t="s">
        <v>329</v>
      </c>
      <c r="Q132" t="s">
        <v>329</v>
      </c>
      <c r="R132" t="s">
        <v>329</v>
      </c>
      <c r="S132" t="s">
        <v>329</v>
      </c>
      <c r="T132" t="s">
        <v>32</v>
      </c>
      <c r="U132" t="s">
        <v>329</v>
      </c>
      <c r="V132" t="s">
        <v>329</v>
      </c>
      <c r="X132" t="s">
        <v>43</v>
      </c>
      <c r="Y132" t="s">
        <v>32</v>
      </c>
      <c r="Z132" t="s">
        <v>632</v>
      </c>
      <c r="AA132">
        <v>6</v>
      </c>
    </row>
    <row r="133" spans="1:27" x14ac:dyDescent="0.25">
      <c r="A133" t="s">
        <v>633</v>
      </c>
      <c r="B133" t="s">
        <v>29</v>
      </c>
      <c r="C133" t="s">
        <v>46</v>
      </c>
      <c r="D133" t="s">
        <v>31</v>
      </c>
      <c r="E133" t="s">
        <v>329</v>
      </c>
      <c r="F133" t="s">
        <v>715</v>
      </c>
      <c r="G133" t="s">
        <v>715</v>
      </c>
      <c r="H133" t="s">
        <v>717</v>
      </c>
      <c r="I133" t="s">
        <v>731</v>
      </c>
      <c r="J133" t="s">
        <v>329</v>
      </c>
      <c r="K133" t="s">
        <v>634</v>
      </c>
      <c r="L133" t="s">
        <v>39</v>
      </c>
      <c r="M133" t="s">
        <v>635</v>
      </c>
      <c r="N133">
        <v>9</v>
      </c>
      <c r="O133" t="s">
        <v>32</v>
      </c>
      <c r="P133" t="s">
        <v>717</v>
      </c>
      <c r="Q133" t="s">
        <v>717</v>
      </c>
      <c r="R133" t="s">
        <v>329</v>
      </c>
      <c r="S133" t="s">
        <v>717</v>
      </c>
      <c r="T133" t="s">
        <v>717</v>
      </c>
      <c r="U133" t="s">
        <v>717</v>
      </c>
      <c r="V133" t="s">
        <v>717</v>
      </c>
      <c r="W133" t="s">
        <v>717</v>
      </c>
      <c r="X133" t="s">
        <v>43</v>
      </c>
      <c r="Y133" t="s">
        <v>329</v>
      </c>
      <c r="Z133" t="s">
        <v>636</v>
      </c>
      <c r="AA133">
        <v>5</v>
      </c>
    </row>
    <row r="134" spans="1:27" x14ac:dyDescent="0.25">
      <c r="A134" t="s">
        <v>637</v>
      </c>
      <c r="B134" t="s">
        <v>84</v>
      </c>
      <c r="C134" t="s">
        <v>46</v>
      </c>
      <c r="D134" t="s">
        <v>389</v>
      </c>
      <c r="E134" t="s">
        <v>32</v>
      </c>
      <c r="F134" t="s">
        <v>32</v>
      </c>
      <c r="G134" t="s">
        <v>32</v>
      </c>
      <c r="H134" t="s">
        <v>32</v>
      </c>
      <c r="I134" t="s">
        <v>718</v>
      </c>
      <c r="J134" t="s">
        <v>32</v>
      </c>
      <c r="K134" t="s">
        <v>638</v>
      </c>
      <c r="L134" t="s">
        <v>39</v>
      </c>
      <c r="M134" t="s">
        <v>639</v>
      </c>
      <c r="N134">
        <v>3</v>
      </c>
      <c r="O134" t="s">
        <v>32</v>
      </c>
      <c r="P134" t="s">
        <v>32</v>
      </c>
      <c r="Q134" t="s">
        <v>32</v>
      </c>
      <c r="R134" t="s">
        <v>32</v>
      </c>
      <c r="S134" t="s">
        <v>32</v>
      </c>
      <c r="T134" t="s">
        <v>32</v>
      </c>
      <c r="U134" t="s">
        <v>32</v>
      </c>
      <c r="V134" t="s">
        <v>32</v>
      </c>
      <c r="W134" t="s">
        <v>717</v>
      </c>
      <c r="X134" t="s">
        <v>43</v>
      </c>
      <c r="Y134" t="s">
        <v>32</v>
      </c>
      <c r="Z134" t="s">
        <v>640</v>
      </c>
      <c r="AA134">
        <v>1</v>
      </c>
    </row>
    <row r="135" spans="1:27" x14ac:dyDescent="0.25">
      <c r="A135" t="s">
        <v>641</v>
      </c>
      <c r="B135" t="s">
        <v>29</v>
      </c>
      <c r="C135" t="s">
        <v>46</v>
      </c>
      <c r="D135" t="s">
        <v>31</v>
      </c>
      <c r="E135" t="s">
        <v>329</v>
      </c>
      <c r="F135" t="s">
        <v>369</v>
      </c>
      <c r="G135" t="s">
        <v>369</v>
      </c>
      <c r="H135" t="s">
        <v>369</v>
      </c>
      <c r="I135" t="s">
        <v>720</v>
      </c>
      <c r="J135" t="s">
        <v>369</v>
      </c>
      <c r="K135" t="s">
        <v>534</v>
      </c>
      <c r="L135" t="s">
        <v>39</v>
      </c>
      <c r="M135" t="s">
        <v>642</v>
      </c>
      <c r="N135">
        <v>9</v>
      </c>
      <c r="O135" t="s">
        <v>329</v>
      </c>
      <c r="P135" t="s">
        <v>369</v>
      </c>
      <c r="Q135" t="s">
        <v>369</v>
      </c>
      <c r="R135" t="s">
        <v>329</v>
      </c>
      <c r="S135" t="s">
        <v>369</v>
      </c>
      <c r="T135" t="s">
        <v>369</v>
      </c>
      <c r="U135" t="s">
        <v>369</v>
      </c>
      <c r="V135" t="s">
        <v>369</v>
      </c>
      <c r="W135" t="s">
        <v>369</v>
      </c>
      <c r="X135" t="s">
        <v>39</v>
      </c>
      <c r="Y135" t="s">
        <v>32</v>
      </c>
      <c r="Z135" t="s">
        <v>643</v>
      </c>
      <c r="AA135">
        <v>5</v>
      </c>
    </row>
    <row r="136" spans="1:27" x14ac:dyDescent="0.25">
      <c r="A136" t="s">
        <v>644</v>
      </c>
      <c r="B136" t="s">
        <v>29</v>
      </c>
      <c r="C136" t="s">
        <v>46</v>
      </c>
      <c r="D136" t="s">
        <v>31</v>
      </c>
      <c r="E136" t="s">
        <v>329</v>
      </c>
      <c r="F136" t="s">
        <v>725</v>
      </c>
      <c r="G136" t="s">
        <v>725</v>
      </c>
      <c r="H136" t="s">
        <v>369</v>
      </c>
      <c r="I136" t="s">
        <v>730</v>
      </c>
      <c r="J136" t="s">
        <v>329</v>
      </c>
      <c r="K136" t="s">
        <v>646</v>
      </c>
      <c r="L136" t="s">
        <v>39</v>
      </c>
      <c r="M136" t="s">
        <v>647</v>
      </c>
      <c r="N136">
        <v>7</v>
      </c>
      <c r="O136" t="s">
        <v>746</v>
      </c>
      <c r="P136" t="s">
        <v>369</v>
      </c>
      <c r="Q136" t="s">
        <v>369</v>
      </c>
      <c r="R136" t="s">
        <v>329</v>
      </c>
      <c r="S136" t="s">
        <v>369</v>
      </c>
      <c r="T136" t="s">
        <v>369</v>
      </c>
      <c r="U136" t="s">
        <v>329</v>
      </c>
      <c r="V136" t="s">
        <v>369</v>
      </c>
      <c r="W136" t="s">
        <v>369</v>
      </c>
      <c r="X136" t="s">
        <v>89</v>
      </c>
      <c r="Y136" t="s">
        <v>329</v>
      </c>
      <c r="Z136" t="s">
        <v>649</v>
      </c>
      <c r="AA136">
        <v>6</v>
      </c>
    </row>
    <row r="137" spans="1:27" x14ac:dyDescent="0.25">
      <c r="A137" t="s">
        <v>650</v>
      </c>
      <c r="B137" t="s">
        <v>29</v>
      </c>
      <c r="C137" t="s">
        <v>46</v>
      </c>
      <c r="D137" t="s">
        <v>31</v>
      </c>
      <c r="E137" t="s">
        <v>717</v>
      </c>
      <c r="F137" t="s">
        <v>717</v>
      </c>
      <c r="G137" t="s">
        <v>717</v>
      </c>
      <c r="H137" t="s">
        <v>717</v>
      </c>
      <c r="I137" t="s">
        <v>716</v>
      </c>
      <c r="J137" t="s">
        <v>32</v>
      </c>
      <c r="K137" t="s">
        <v>651</v>
      </c>
      <c r="L137" t="s">
        <v>39</v>
      </c>
      <c r="M137" t="s">
        <v>652</v>
      </c>
      <c r="N137">
        <v>5</v>
      </c>
      <c r="O137" t="s">
        <v>369</v>
      </c>
      <c r="P137" t="s">
        <v>717</v>
      </c>
      <c r="Q137" t="s">
        <v>717</v>
      </c>
      <c r="R137" t="s">
        <v>32</v>
      </c>
      <c r="S137" t="s">
        <v>32</v>
      </c>
      <c r="T137" t="s">
        <v>717</v>
      </c>
      <c r="U137" t="s">
        <v>717</v>
      </c>
      <c r="V137" t="s">
        <v>717</v>
      </c>
      <c r="W137" t="s">
        <v>717</v>
      </c>
      <c r="X137" t="s">
        <v>43</v>
      </c>
      <c r="Y137" t="s">
        <v>747</v>
      </c>
      <c r="Z137" t="s">
        <v>213</v>
      </c>
      <c r="AA137">
        <v>5</v>
      </c>
    </row>
    <row r="138" spans="1:27" x14ac:dyDescent="0.25">
      <c r="A138" t="s">
        <v>653</v>
      </c>
      <c r="B138" t="s">
        <v>29</v>
      </c>
      <c r="C138" t="s">
        <v>46</v>
      </c>
      <c r="D138" t="s">
        <v>31</v>
      </c>
      <c r="E138" t="s">
        <v>329</v>
      </c>
      <c r="F138" t="s">
        <v>726</v>
      </c>
      <c r="G138" t="s">
        <v>329</v>
      </c>
      <c r="H138" t="s">
        <v>329</v>
      </c>
      <c r="I138" t="s">
        <v>720</v>
      </c>
      <c r="J138" t="s">
        <v>717</v>
      </c>
      <c r="K138" t="s">
        <v>654</v>
      </c>
      <c r="L138" t="s">
        <v>39</v>
      </c>
      <c r="M138" t="s">
        <v>655</v>
      </c>
      <c r="N138">
        <v>5</v>
      </c>
      <c r="O138" t="s">
        <v>32</v>
      </c>
      <c r="P138" t="s">
        <v>329</v>
      </c>
      <c r="Q138" t="s">
        <v>32</v>
      </c>
      <c r="R138" t="s">
        <v>329</v>
      </c>
      <c r="S138" t="s">
        <v>32</v>
      </c>
      <c r="T138" t="s">
        <v>329</v>
      </c>
      <c r="U138" t="s">
        <v>32</v>
      </c>
      <c r="V138" t="s">
        <v>329</v>
      </c>
      <c r="W138" t="s">
        <v>329</v>
      </c>
      <c r="X138" t="s">
        <v>39</v>
      </c>
      <c r="Y138" t="s">
        <v>32</v>
      </c>
      <c r="Z138" t="s">
        <v>656</v>
      </c>
      <c r="AA138">
        <v>7</v>
      </c>
    </row>
    <row r="139" spans="1:27" x14ac:dyDescent="0.25">
      <c r="A139" t="s">
        <v>657</v>
      </c>
      <c r="B139" t="s">
        <v>29</v>
      </c>
      <c r="C139" t="s">
        <v>46</v>
      </c>
      <c r="D139" t="s">
        <v>31</v>
      </c>
      <c r="E139" t="s">
        <v>32</v>
      </c>
      <c r="F139" t="s">
        <v>721</v>
      </c>
      <c r="G139" t="s">
        <v>727</v>
      </c>
      <c r="H139" t="s">
        <v>32</v>
      </c>
      <c r="I139" t="s">
        <v>720</v>
      </c>
      <c r="J139" t="s">
        <v>329</v>
      </c>
      <c r="K139" t="s">
        <v>658</v>
      </c>
      <c r="L139" t="s">
        <v>39</v>
      </c>
      <c r="M139" t="s">
        <v>659</v>
      </c>
      <c r="N139">
        <v>9</v>
      </c>
      <c r="O139" t="s">
        <v>369</v>
      </c>
      <c r="P139" t="s">
        <v>32</v>
      </c>
      <c r="Q139" t="s">
        <v>369</v>
      </c>
      <c r="R139" t="s">
        <v>329</v>
      </c>
      <c r="S139" t="s">
        <v>32</v>
      </c>
      <c r="T139" t="s">
        <v>32</v>
      </c>
      <c r="U139" t="s">
        <v>32</v>
      </c>
      <c r="V139" t="s">
        <v>32</v>
      </c>
      <c r="W139" t="s">
        <v>369</v>
      </c>
      <c r="X139" t="s">
        <v>89</v>
      </c>
      <c r="Y139" t="s">
        <v>32</v>
      </c>
      <c r="Z139" t="s">
        <v>660</v>
      </c>
      <c r="AA139">
        <v>7</v>
      </c>
    </row>
    <row r="140" spans="1:27" x14ac:dyDescent="0.25">
      <c r="A140" t="s">
        <v>661</v>
      </c>
      <c r="B140" t="s">
        <v>29</v>
      </c>
      <c r="C140" t="s">
        <v>46</v>
      </c>
      <c r="D140" t="s">
        <v>31</v>
      </c>
      <c r="E140" t="s">
        <v>32</v>
      </c>
      <c r="F140" t="s">
        <v>32</v>
      </c>
      <c r="G140" t="s">
        <v>32</v>
      </c>
      <c r="H140" t="s">
        <v>32</v>
      </c>
      <c r="I140" t="s">
        <v>720</v>
      </c>
      <c r="J140" t="s">
        <v>329</v>
      </c>
      <c r="K140" t="s">
        <v>662</v>
      </c>
      <c r="L140" t="s">
        <v>39</v>
      </c>
      <c r="M140" t="s">
        <v>663</v>
      </c>
      <c r="N140">
        <v>1</v>
      </c>
      <c r="O140" t="s">
        <v>717</v>
      </c>
      <c r="P140" t="s">
        <v>32</v>
      </c>
      <c r="Q140" t="s">
        <v>329</v>
      </c>
      <c r="R140" t="s">
        <v>329</v>
      </c>
      <c r="S140" t="s">
        <v>32</v>
      </c>
      <c r="T140" t="s">
        <v>329</v>
      </c>
      <c r="U140" t="s">
        <v>32</v>
      </c>
      <c r="V140" t="s">
        <v>32</v>
      </c>
      <c r="W140" t="s">
        <v>717</v>
      </c>
      <c r="X140" t="s">
        <v>43</v>
      </c>
      <c r="Y140" t="s">
        <v>32</v>
      </c>
      <c r="Z140" t="s">
        <v>664</v>
      </c>
      <c r="AA140">
        <v>10</v>
      </c>
    </row>
    <row r="141" spans="1:27" x14ac:dyDescent="0.25">
      <c r="A141" t="s">
        <v>665</v>
      </c>
      <c r="B141" t="s">
        <v>84</v>
      </c>
      <c r="C141" t="s">
        <v>46</v>
      </c>
      <c r="D141" t="s">
        <v>31</v>
      </c>
      <c r="E141" t="s">
        <v>329</v>
      </c>
      <c r="F141" t="s">
        <v>723</v>
      </c>
      <c r="G141" t="s">
        <v>329</v>
      </c>
      <c r="H141" t="s">
        <v>329</v>
      </c>
      <c r="I141" t="s">
        <v>730</v>
      </c>
      <c r="J141" t="s">
        <v>32</v>
      </c>
      <c r="K141" t="s">
        <v>666</v>
      </c>
      <c r="L141" t="s">
        <v>39</v>
      </c>
      <c r="M141" t="s">
        <v>74</v>
      </c>
      <c r="N141">
        <v>6</v>
      </c>
      <c r="O141" t="s">
        <v>32</v>
      </c>
      <c r="P141" t="s">
        <v>329</v>
      </c>
      <c r="Q141" t="s">
        <v>32</v>
      </c>
      <c r="R141" t="s">
        <v>329</v>
      </c>
      <c r="S141" t="s">
        <v>329</v>
      </c>
      <c r="T141" t="s">
        <v>329</v>
      </c>
      <c r="U141" t="s">
        <v>329</v>
      </c>
      <c r="V141" t="s">
        <v>329</v>
      </c>
      <c r="W141" t="s">
        <v>329</v>
      </c>
      <c r="X141" t="s">
        <v>43</v>
      </c>
      <c r="Y141" t="s">
        <v>747</v>
      </c>
      <c r="Z141" t="s">
        <v>667</v>
      </c>
      <c r="AA141">
        <v>5</v>
      </c>
    </row>
    <row r="142" spans="1:27" x14ac:dyDescent="0.25">
      <c r="A142" t="s">
        <v>668</v>
      </c>
      <c r="B142" t="s">
        <v>29</v>
      </c>
      <c r="C142" t="s">
        <v>628</v>
      </c>
      <c r="D142" t="s">
        <v>31</v>
      </c>
      <c r="E142" t="s">
        <v>329</v>
      </c>
      <c r="F142" t="s">
        <v>723</v>
      </c>
      <c r="G142" t="s">
        <v>329</v>
      </c>
      <c r="H142" t="s">
        <v>329</v>
      </c>
      <c r="I142" t="s">
        <v>720</v>
      </c>
      <c r="J142" t="s">
        <v>32</v>
      </c>
      <c r="K142" t="s">
        <v>671</v>
      </c>
      <c r="L142" t="s">
        <v>39</v>
      </c>
      <c r="M142" t="s">
        <v>672</v>
      </c>
      <c r="N142">
        <v>1</v>
      </c>
      <c r="O142" t="s">
        <v>717</v>
      </c>
      <c r="P142" t="s">
        <v>329</v>
      </c>
      <c r="Q142" t="s">
        <v>329</v>
      </c>
      <c r="R142" t="s">
        <v>369</v>
      </c>
      <c r="S142" t="s">
        <v>329</v>
      </c>
      <c r="T142" t="s">
        <v>329</v>
      </c>
      <c r="U142" t="s">
        <v>329</v>
      </c>
      <c r="V142" t="s">
        <v>329</v>
      </c>
      <c r="W142" t="s">
        <v>329</v>
      </c>
      <c r="X142" t="s">
        <v>43</v>
      </c>
      <c r="Y142" t="s">
        <v>747</v>
      </c>
      <c r="Z142" t="s">
        <v>673</v>
      </c>
      <c r="AA142">
        <v>10</v>
      </c>
    </row>
    <row r="143" spans="1:27" x14ac:dyDescent="0.25">
      <c r="A143" t="s">
        <v>674</v>
      </c>
      <c r="B143" t="s">
        <v>29</v>
      </c>
      <c r="C143" t="s">
        <v>46</v>
      </c>
      <c r="D143" t="s">
        <v>31</v>
      </c>
      <c r="E143" t="s">
        <v>717</v>
      </c>
      <c r="F143" t="s">
        <v>721</v>
      </c>
      <c r="G143" t="s">
        <v>721</v>
      </c>
      <c r="H143" t="s">
        <v>369</v>
      </c>
      <c r="I143" t="s">
        <v>720</v>
      </c>
      <c r="J143" t="s">
        <v>329</v>
      </c>
      <c r="K143" t="s">
        <v>675</v>
      </c>
      <c r="L143" t="s">
        <v>39</v>
      </c>
      <c r="M143" t="s">
        <v>676</v>
      </c>
      <c r="N143">
        <v>8</v>
      </c>
      <c r="O143" t="s">
        <v>32</v>
      </c>
      <c r="P143" t="s">
        <v>717</v>
      </c>
      <c r="Q143" t="s">
        <v>329</v>
      </c>
      <c r="R143" t="s">
        <v>329</v>
      </c>
      <c r="S143" t="s">
        <v>369</v>
      </c>
      <c r="T143" t="s">
        <v>369</v>
      </c>
      <c r="U143" t="s">
        <v>329</v>
      </c>
      <c r="V143" t="s">
        <v>369</v>
      </c>
      <c r="W143" t="s">
        <v>369</v>
      </c>
      <c r="X143" t="s">
        <v>39</v>
      </c>
      <c r="Y143" t="s">
        <v>32</v>
      </c>
      <c r="Z143" t="s">
        <v>677</v>
      </c>
      <c r="AA143">
        <v>8</v>
      </c>
    </row>
    <row r="144" spans="1:27" x14ac:dyDescent="0.25">
      <c r="A144" t="s">
        <v>678</v>
      </c>
      <c r="B144" t="s">
        <v>29</v>
      </c>
      <c r="C144" t="s">
        <v>46</v>
      </c>
      <c r="D144" t="s">
        <v>31</v>
      </c>
      <c r="E144" t="s">
        <v>329</v>
      </c>
      <c r="F144" t="s">
        <v>329</v>
      </c>
      <c r="G144" t="s">
        <v>329</v>
      </c>
      <c r="H144" t="s">
        <v>329</v>
      </c>
      <c r="I144" t="s">
        <v>729</v>
      </c>
      <c r="J144" t="s">
        <v>32</v>
      </c>
      <c r="K144" t="s">
        <v>680</v>
      </c>
      <c r="L144" t="s">
        <v>39</v>
      </c>
      <c r="M144" t="s">
        <v>681</v>
      </c>
      <c r="N144">
        <v>6</v>
      </c>
      <c r="O144" t="s">
        <v>746</v>
      </c>
      <c r="P144" t="s">
        <v>329</v>
      </c>
      <c r="Q144" t="s">
        <v>329</v>
      </c>
      <c r="R144" t="s">
        <v>329</v>
      </c>
      <c r="S144" t="s">
        <v>329</v>
      </c>
      <c r="T144" t="s">
        <v>369</v>
      </c>
      <c r="U144" t="s">
        <v>329</v>
      </c>
      <c r="V144" t="s">
        <v>329</v>
      </c>
      <c r="W144" t="s">
        <v>369</v>
      </c>
      <c r="X144" t="s">
        <v>43</v>
      </c>
      <c r="Y144" t="s">
        <v>747</v>
      </c>
      <c r="Z144" t="s">
        <v>683</v>
      </c>
      <c r="AA144">
        <v>5</v>
      </c>
    </row>
    <row r="145" spans="1:27" x14ac:dyDescent="0.25">
      <c r="A145" t="s">
        <v>684</v>
      </c>
      <c r="B145" t="s">
        <v>29</v>
      </c>
      <c r="C145" t="s">
        <v>46</v>
      </c>
      <c r="D145" t="s">
        <v>31</v>
      </c>
      <c r="E145" t="s">
        <v>369</v>
      </c>
      <c r="F145" t="s">
        <v>724</v>
      </c>
      <c r="G145" t="s">
        <v>724</v>
      </c>
      <c r="H145" t="s">
        <v>369</v>
      </c>
      <c r="I145" t="s">
        <v>720</v>
      </c>
      <c r="J145" t="s">
        <v>329</v>
      </c>
      <c r="K145" t="s">
        <v>685</v>
      </c>
      <c r="L145" t="s">
        <v>39</v>
      </c>
      <c r="M145" t="s">
        <v>686</v>
      </c>
      <c r="N145">
        <v>10</v>
      </c>
      <c r="O145" t="s">
        <v>717</v>
      </c>
      <c r="P145" t="s">
        <v>717</v>
      </c>
      <c r="Q145" t="s">
        <v>369</v>
      </c>
      <c r="R145" t="s">
        <v>329</v>
      </c>
      <c r="S145" t="s">
        <v>369</v>
      </c>
      <c r="T145" t="s">
        <v>369</v>
      </c>
      <c r="U145" t="s">
        <v>329</v>
      </c>
      <c r="V145" t="s">
        <v>717</v>
      </c>
      <c r="W145" t="s">
        <v>369</v>
      </c>
      <c r="X145" t="s">
        <v>43</v>
      </c>
      <c r="Y145" t="s">
        <v>32</v>
      </c>
      <c r="Z145" t="s">
        <v>687</v>
      </c>
      <c r="AA145">
        <v>5</v>
      </c>
    </row>
    <row r="146" spans="1:27" x14ac:dyDescent="0.25">
      <c r="A146" t="s">
        <v>688</v>
      </c>
      <c r="B146" t="s">
        <v>29</v>
      </c>
      <c r="C146" t="s">
        <v>46</v>
      </c>
      <c r="D146" t="s">
        <v>31</v>
      </c>
      <c r="E146" t="s">
        <v>32</v>
      </c>
      <c r="F146" t="s">
        <v>32</v>
      </c>
      <c r="G146" t="s">
        <v>721</v>
      </c>
      <c r="H146" t="s">
        <v>32</v>
      </c>
      <c r="I146" t="s">
        <v>720</v>
      </c>
      <c r="J146" t="s">
        <v>32</v>
      </c>
      <c r="K146" t="s">
        <v>213</v>
      </c>
      <c r="L146" t="s">
        <v>39</v>
      </c>
      <c r="M146" t="s">
        <v>74</v>
      </c>
      <c r="N146">
        <v>10</v>
      </c>
      <c r="O146" t="s">
        <v>32</v>
      </c>
      <c r="P146" t="s">
        <v>32</v>
      </c>
      <c r="Q146" t="s">
        <v>32</v>
      </c>
      <c r="R146" t="s">
        <v>32</v>
      </c>
      <c r="S146" t="s">
        <v>32</v>
      </c>
      <c r="T146" t="s">
        <v>32</v>
      </c>
      <c r="U146" t="s">
        <v>32</v>
      </c>
      <c r="V146" t="s">
        <v>32</v>
      </c>
      <c r="W146" t="s">
        <v>32</v>
      </c>
      <c r="X146" t="s">
        <v>39</v>
      </c>
      <c r="Y146" t="s">
        <v>32</v>
      </c>
      <c r="Z146" t="s">
        <v>689</v>
      </c>
      <c r="AA146">
        <v>10</v>
      </c>
    </row>
    <row r="147" spans="1:27" x14ac:dyDescent="0.25">
      <c r="A147" t="s">
        <v>690</v>
      </c>
      <c r="B147" t="s">
        <v>84</v>
      </c>
      <c r="C147" t="s">
        <v>46</v>
      </c>
      <c r="D147" t="s">
        <v>31</v>
      </c>
      <c r="E147" t="s">
        <v>329</v>
      </c>
      <c r="F147" t="s">
        <v>715</v>
      </c>
      <c r="G147" t="s">
        <v>723</v>
      </c>
      <c r="H147" t="s">
        <v>329</v>
      </c>
      <c r="I147" t="s">
        <v>720</v>
      </c>
      <c r="J147" t="s">
        <v>329</v>
      </c>
      <c r="K147" t="s">
        <v>691</v>
      </c>
      <c r="L147" t="s">
        <v>39</v>
      </c>
      <c r="M147" t="s">
        <v>692</v>
      </c>
      <c r="N147">
        <v>10</v>
      </c>
      <c r="O147" t="s">
        <v>32</v>
      </c>
      <c r="P147" t="s">
        <v>329</v>
      </c>
      <c r="Q147" t="s">
        <v>329</v>
      </c>
      <c r="R147" t="s">
        <v>32</v>
      </c>
      <c r="S147" t="s">
        <v>329</v>
      </c>
      <c r="T147" t="s">
        <v>329</v>
      </c>
      <c r="U147" t="s">
        <v>329</v>
      </c>
      <c r="V147" t="s">
        <v>329</v>
      </c>
      <c r="W147" t="s">
        <v>329</v>
      </c>
      <c r="X147" t="s">
        <v>89</v>
      </c>
      <c r="Y147" t="s">
        <v>32</v>
      </c>
      <c r="Z147" t="s">
        <v>693</v>
      </c>
      <c r="AA147">
        <v>5</v>
      </c>
    </row>
    <row r="148" spans="1:27" x14ac:dyDescent="0.25">
      <c r="A148" t="s">
        <v>694</v>
      </c>
      <c r="B148" t="s">
        <v>29</v>
      </c>
      <c r="C148" t="s">
        <v>46</v>
      </c>
      <c r="D148" t="s">
        <v>31</v>
      </c>
      <c r="E148" t="s">
        <v>329</v>
      </c>
      <c r="F148" t="s">
        <v>721</v>
      </c>
      <c r="G148" t="s">
        <v>721</v>
      </c>
      <c r="H148" t="s">
        <v>329</v>
      </c>
      <c r="I148" t="s">
        <v>731</v>
      </c>
      <c r="J148" t="s">
        <v>329</v>
      </c>
      <c r="K148" t="s">
        <v>695</v>
      </c>
      <c r="L148" t="s">
        <v>39</v>
      </c>
      <c r="M148" t="s">
        <v>696</v>
      </c>
      <c r="N148">
        <v>10</v>
      </c>
      <c r="O148" t="s">
        <v>746</v>
      </c>
      <c r="P148" t="s">
        <v>329</v>
      </c>
      <c r="Q148" t="s">
        <v>329</v>
      </c>
      <c r="R148" t="s">
        <v>329</v>
      </c>
      <c r="S148" t="s">
        <v>329</v>
      </c>
      <c r="T148" t="s">
        <v>329</v>
      </c>
      <c r="U148" t="s">
        <v>329</v>
      </c>
      <c r="V148" t="s">
        <v>329</v>
      </c>
      <c r="W148" t="s">
        <v>329</v>
      </c>
      <c r="X148" t="s">
        <v>43</v>
      </c>
      <c r="Y148" t="s">
        <v>747</v>
      </c>
      <c r="Z148" t="s">
        <v>698</v>
      </c>
      <c r="AA148">
        <v>5</v>
      </c>
    </row>
    <row r="149" spans="1:27" x14ac:dyDescent="0.25">
      <c r="A149" t="s">
        <v>699</v>
      </c>
      <c r="B149" t="s">
        <v>29</v>
      </c>
      <c r="C149" t="s">
        <v>46</v>
      </c>
      <c r="D149" t="s">
        <v>31</v>
      </c>
      <c r="E149" t="s">
        <v>329</v>
      </c>
      <c r="F149" t="s">
        <v>721</v>
      </c>
      <c r="G149" t="s">
        <v>369</v>
      </c>
      <c r="H149" t="s">
        <v>369</v>
      </c>
      <c r="I149" t="s">
        <v>718</v>
      </c>
      <c r="J149" t="s">
        <v>717</v>
      </c>
      <c r="K149" t="s">
        <v>701</v>
      </c>
      <c r="L149" t="s">
        <v>39</v>
      </c>
      <c r="M149" t="s">
        <v>702</v>
      </c>
      <c r="N149">
        <v>10</v>
      </c>
      <c r="O149" t="s">
        <v>329</v>
      </c>
      <c r="P149" t="s">
        <v>369</v>
      </c>
      <c r="Q149" t="s">
        <v>717</v>
      </c>
      <c r="R149" t="s">
        <v>329</v>
      </c>
      <c r="S149" t="s">
        <v>369</v>
      </c>
      <c r="T149" t="s">
        <v>369</v>
      </c>
      <c r="U149" t="s">
        <v>369</v>
      </c>
      <c r="V149" t="s">
        <v>369</v>
      </c>
      <c r="W149" t="s">
        <v>369</v>
      </c>
      <c r="X149" t="s">
        <v>43</v>
      </c>
      <c r="Y149" t="s">
        <v>747</v>
      </c>
      <c r="Z149" t="s">
        <v>703</v>
      </c>
      <c r="AA149">
        <v>5</v>
      </c>
    </row>
    <row r="150" spans="1:27" x14ac:dyDescent="0.25">
      <c r="A150" t="s">
        <v>704</v>
      </c>
      <c r="B150" t="s">
        <v>29</v>
      </c>
      <c r="C150" t="s">
        <v>46</v>
      </c>
      <c r="D150" t="s">
        <v>31</v>
      </c>
      <c r="E150" t="s">
        <v>32</v>
      </c>
      <c r="F150" t="s">
        <v>32</v>
      </c>
      <c r="G150" t="s">
        <v>723</v>
      </c>
      <c r="H150" t="s">
        <v>32</v>
      </c>
      <c r="I150" t="s">
        <v>720</v>
      </c>
      <c r="J150" t="s">
        <v>329</v>
      </c>
      <c r="K150" t="s">
        <v>705</v>
      </c>
      <c r="L150" t="s">
        <v>39</v>
      </c>
      <c r="M150" t="s">
        <v>706</v>
      </c>
      <c r="N150">
        <v>10</v>
      </c>
      <c r="O150" t="s">
        <v>717</v>
      </c>
      <c r="P150" t="s">
        <v>32</v>
      </c>
      <c r="Q150" t="s">
        <v>717</v>
      </c>
      <c r="R150" t="s">
        <v>329</v>
      </c>
      <c r="S150" t="s">
        <v>32</v>
      </c>
      <c r="T150" t="s">
        <v>32</v>
      </c>
      <c r="U150" t="s">
        <v>32</v>
      </c>
      <c r="V150" t="s">
        <v>32</v>
      </c>
      <c r="W150" t="s">
        <v>32</v>
      </c>
      <c r="X150" t="s">
        <v>43</v>
      </c>
      <c r="Y150" t="s">
        <v>747</v>
      </c>
      <c r="Z150" t="s">
        <v>707</v>
      </c>
      <c r="AA150">
        <v>10</v>
      </c>
    </row>
    <row r="151" spans="1:27" x14ac:dyDescent="0.25">
      <c r="A151" t="s">
        <v>708</v>
      </c>
      <c r="B151" t="s">
        <v>29</v>
      </c>
      <c r="C151" t="s">
        <v>46</v>
      </c>
      <c r="D151" t="s">
        <v>435</v>
      </c>
      <c r="E151" t="s">
        <v>329</v>
      </c>
      <c r="F151" t="s">
        <v>721</v>
      </c>
      <c r="G151" t="s">
        <v>724</v>
      </c>
      <c r="H151" t="s">
        <v>329</v>
      </c>
      <c r="I151" t="s">
        <v>720</v>
      </c>
      <c r="J151" t="s">
        <v>329</v>
      </c>
      <c r="K151" t="s">
        <v>213</v>
      </c>
      <c r="L151" t="s">
        <v>39</v>
      </c>
      <c r="M151" t="s">
        <v>709</v>
      </c>
      <c r="N151">
        <v>7</v>
      </c>
      <c r="O151" t="s">
        <v>32</v>
      </c>
      <c r="P151" t="s">
        <v>329</v>
      </c>
      <c r="Q151" t="s">
        <v>32</v>
      </c>
      <c r="R151" t="s">
        <v>32</v>
      </c>
      <c r="S151" t="s">
        <v>32</v>
      </c>
      <c r="T151" t="s">
        <v>32</v>
      </c>
      <c r="U151" t="s">
        <v>329</v>
      </c>
      <c r="V151" t="s">
        <v>329</v>
      </c>
      <c r="W151" t="s">
        <v>369</v>
      </c>
      <c r="X151" t="s">
        <v>89</v>
      </c>
      <c r="Y151" t="s">
        <v>329</v>
      </c>
      <c r="Z151" t="s">
        <v>710</v>
      </c>
      <c r="AA151">
        <v>5</v>
      </c>
    </row>
  </sheetData>
  <phoneticPr fontId="8"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51"/>
  <sheetViews>
    <sheetView topLeftCell="Z1" workbookViewId="0">
      <pane ySplit="1" topLeftCell="A2" activePane="bottomLeft" state="frozen"/>
      <selection pane="bottomLeft" activeCell="AB1" sqref="AB1"/>
    </sheetView>
  </sheetViews>
  <sheetFormatPr defaultColWidth="12.6328125" defaultRowHeight="15.75" customHeight="1" x14ac:dyDescent="0.25"/>
  <cols>
    <col min="1" max="1" width="18.90625" customWidth="1"/>
    <col min="2" max="2" width="26.08984375" customWidth="1"/>
    <col min="3" max="3" width="18.90625" customWidth="1"/>
    <col min="4" max="4" width="23.7265625" customWidth="1"/>
    <col min="5" max="5" width="34.6328125" customWidth="1"/>
    <col min="6" max="11" width="37.6328125" customWidth="1"/>
    <col min="12" max="12" width="102.7265625" customWidth="1"/>
    <col min="13" max="21" width="37.6328125" customWidth="1"/>
    <col min="22" max="22" width="26.08984375" customWidth="1"/>
    <col min="23" max="23" width="37.6328125" customWidth="1"/>
    <col min="24" max="24" width="32.7265625" customWidth="1"/>
    <col min="25" max="26" width="37.6328125" customWidth="1"/>
    <col min="27" max="27" width="38.6328125" customWidth="1"/>
    <col min="28" max="28" width="35.453125" customWidth="1"/>
    <col min="29" max="34" width="18.90625" customWidth="1"/>
  </cols>
  <sheetData>
    <row r="1" spans="1:28" ht="22.5" customHeight="1" x14ac:dyDescent="0.25">
      <c r="A1" s="1" t="s">
        <v>0</v>
      </c>
      <c r="B1" s="1" t="s">
        <v>1</v>
      </c>
      <c r="C1" s="2" t="s">
        <v>2</v>
      </c>
      <c r="D1" s="2" t="s">
        <v>3</v>
      </c>
      <c r="E1" s="2" t="s">
        <v>4</v>
      </c>
      <c r="F1" s="2" t="s">
        <v>832</v>
      </c>
      <c r="G1" s="46" t="s">
        <v>833</v>
      </c>
      <c r="H1" s="2" t="s">
        <v>835</v>
      </c>
      <c r="I1" s="2" t="s">
        <v>834</v>
      </c>
      <c r="J1" s="2"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2" t="s">
        <v>27</v>
      </c>
    </row>
    <row r="2" spans="1:28" ht="22.5" customHeight="1" x14ac:dyDescent="0.25">
      <c r="A2" s="3">
        <v>46099.533139629624</v>
      </c>
      <c r="B2" s="4" t="s">
        <v>28</v>
      </c>
      <c r="C2" s="4" t="s">
        <v>29</v>
      </c>
      <c r="D2" s="4" t="s">
        <v>30</v>
      </c>
      <c r="E2" s="4" t="s">
        <v>31</v>
      </c>
      <c r="F2" s="4" t="s">
        <v>32</v>
      </c>
      <c r="G2" s="4" t="s">
        <v>33</v>
      </c>
      <c r="H2" s="4" t="s">
        <v>34</v>
      </c>
      <c r="I2" s="4" t="s">
        <v>35</v>
      </c>
      <c r="J2" s="4" t="s">
        <v>36</v>
      </c>
      <c r="K2" s="4" t="s">
        <v>37</v>
      </c>
      <c r="L2" s="4" t="s">
        <v>38</v>
      </c>
      <c r="M2" s="4" t="s">
        <v>39</v>
      </c>
      <c r="N2" s="4" t="s">
        <v>40</v>
      </c>
      <c r="O2" s="4">
        <v>9</v>
      </c>
      <c r="P2" s="4" t="s">
        <v>41</v>
      </c>
      <c r="Q2" s="4" t="s">
        <v>37</v>
      </c>
      <c r="R2" s="4" t="s">
        <v>34</v>
      </c>
      <c r="S2" s="4" t="s">
        <v>42</v>
      </c>
      <c r="T2" s="4" t="s">
        <v>37</v>
      </c>
      <c r="U2" s="4" t="s">
        <v>34</v>
      </c>
      <c r="V2" s="4" t="s">
        <v>34</v>
      </c>
      <c r="W2" s="4" t="s">
        <v>34</v>
      </c>
      <c r="X2" s="4" t="s">
        <v>34</v>
      </c>
      <c r="Y2" s="4" t="s">
        <v>43</v>
      </c>
      <c r="Z2" s="4" t="s">
        <v>34</v>
      </c>
      <c r="AA2" s="4" t="s">
        <v>44</v>
      </c>
      <c r="AB2" s="4">
        <v>1</v>
      </c>
    </row>
    <row r="3" spans="1:28" ht="22.5" customHeight="1" x14ac:dyDescent="0.25">
      <c r="A3" s="3">
        <v>46109.929899872688</v>
      </c>
      <c r="B3" s="4" t="s">
        <v>45</v>
      </c>
      <c r="C3" s="4" t="s">
        <v>29</v>
      </c>
      <c r="D3" s="4" t="s">
        <v>46</v>
      </c>
      <c r="E3" s="4" t="s">
        <v>31</v>
      </c>
      <c r="F3" s="4" t="s">
        <v>34</v>
      </c>
      <c r="G3" s="4" t="s">
        <v>34</v>
      </c>
      <c r="H3" s="4" t="s">
        <v>34</v>
      </c>
      <c r="I3" s="4" t="s">
        <v>35</v>
      </c>
      <c r="J3" s="4" t="s">
        <v>47</v>
      </c>
      <c r="K3" s="4" t="s">
        <v>34</v>
      </c>
      <c r="L3" s="4" t="s">
        <v>48</v>
      </c>
      <c r="M3" s="4" t="s">
        <v>39</v>
      </c>
      <c r="N3" s="4" t="s">
        <v>49</v>
      </c>
      <c r="O3" s="4">
        <v>9</v>
      </c>
      <c r="P3" s="4" t="s">
        <v>50</v>
      </c>
      <c r="Q3" s="4" t="s">
        <v>34</v>
      </c>
      <c r="R3" s="4" t="s">
        <v>34</v>
      </c>
      <c r="S3" s="4" t="s">
        <v>34</v>
      </c>
      <c r="T3" s="4" t="s">
        <v>34</v>
      </c>
      <c r="U3" s="4" t="s">
        <v>34</v>
      </c>
      <c r="V3" s="4" t="s">
        <v>34</v>
      </c>
      <c r="W3" s="4" t="s">
        <v>34</v>
      </c>
      <c r="X3" s="4" t="s">
        <v>34</v>
      </c>
      <c r="Y3" s="4" t="s">
        <v>39</v>
      </c>
      <c r="Z3" s="4" t="s">
        <v>34</v>
      </c>
      <c r="AA3" s="4" t="s">
        <v>51</v>
      </c>
      <c r="AB3" s="4">
        <v>5</v>
      </c>
    </row>
    <row r="4" spans="1:28" ht="22.5" customHeight="1" x14ac:dyDescent="0.25">
      <c r="A4" s="3">
        <v>46109.932668784721</v>
      </c>
      <c r="B4" s="4" t="s">
        <v>52</v>
      </c>
      <c r="C4" s="4" t="s">
        <v>29</v>
      </c>
      <c r="D4" s="4" t="s">
        <v>46</v>
      </c>
      <c r="E4" s="4" t="s">
        <v>31</v>
      </c>
      <c r="F4" s="4" t="s">
        <v>37</v>
      </c>
      <c r="G4" s="4" t="s">
        <v>37</v>
      </c>
      <c r="H4" s="4" t="s">
        <v>37</v>
      </c>
      <c r="I4" s="4" t="s">
        <v>37</v>
      </c>
      <c r="J4" s="4" t="s">
        <v>47</v>
      </c>
      <c r="K4" s="4" t="s">
        <v>34</v>
      </c>
      <c r="L4" s="4" t="s">
        <v>53</v>
      </c>
      <c r="M4" s="4" t="s">
        <v>39</v>
      </c>
      <c r="N4" s="4" t="s">
        <v>53</v>
      </c>
      <c r="O4" s="4">
        <v>10</v>
      </c>
      <c r="P4" s="4" t="s">
        <v>54</v>
      </c>
      <c r="Q4" s="4" t="s">
        <v>37</v>
      </c>
      <c r="R4" s="4" t="s">
        <v>55</v>
      </c>
      <c r="S4" s="4" t="s">
        <v>34</v>
      </c>
      <c r="T4" s="4" t="s">
        <v>34</v>
      </c>
      <c r="U4" s="4" t="s">
        <v>37</v>
      </c>
      <c r="V4" s="4" t="s">
        <v>34</v>
      </c>
      <c r="W4" s="4" t="s">
        <v>37</v>
      </c>
      <c r="X4" s="4" t="s">
        <v>37</v>
      </c>
      <c r="Y4" s="4" t="s">
        <v>39</v>
      </c>
      <c r="Z4" s="4" t="s">
        <v>34</v>
      </c>
      <c r="AA4" s="4" t="s">
        <v>56</v>
      </c>
      <c r="AB4" s="4">
        <v>10</v>
      </c>
    </row>
    <row r="5" spans="1:28" ht="22.5" customHeight="1" x14ac:dyDescent="0.25">
      <c r="A5" s="3">
        <v>46109.938429768517</v>
      </c>
      <c r="B5" s="4" t="s">
        <v>57</v>
      </c>
      <c r="C5" s="4" t="s">
        <v>29</v>
      </c>
      <c r="D5" s="4" t="s">
        <v>46</v>
      </c>
      <c r="E5" s="4" t="s">
        <v>31</v>
      </c>
      <c r="F5" s="4" t="s">
        <v>58</v>
      </c>
      <c r="G5" s="4" t="s">
        <v>59</v>
      </c>
      <c r="H5" s="4" t="s">
        <v>34</v>
      </c>
      <c r="I5" s="4" t="s">
        <v>35</v>
      </c>
      <c r="J5" s="4" t="s">
        <v>60</v>
      </c>
      <c r="K5" s="4" t="s">
        <v>61</v>
      </c>
      <c r="L5" s="4" t="s">
        <v>62</v>
      </c>
      <c r="M5" s="4" t="s">
        <v>39</v>
      </c>
      <c r="N5" s="4" t="s">
        <v>63</v>
      </c>
      <c r="O5" s="4">
        <v>7</v>
      </c>
      <c r="P5" s="4" t="s">
        <v>55</v>
      </c>
      <c r="Q5" s="4" t="s">
        <v>34</v>
      </c>
      <c r="R5" s="4" t="s">
        <v>34</v>
      </c>
      <c r="S5" s="4" t="s">
        <v>34</v>
      </c>
      <c r="T5" s="4" t="s">
        <v>34</v>
      </c>
      <c r="U5" s="4" t="s">
        <v>34</v>
      </c>
      <c r="V5" s="4" t="s">
        <v>34</v>
      </c>
      <c r="W5" s="4" t="s">
        <v>34</v>
      </c>
      <c r="X5" s="4" t="s">
        <v>34</v>
      </c>
      <c r="Y5" s="4" t="s">
        <v>39</v>
      </c>
      <c r="Z5" s="4" t="s">
        <v>34</v>
      </c>
      <c r="AA5" s="4" t="s">
        <v>64</v>
      </c>
      <c r="AB5" s="4">
        <v>5</v>
      </c>
    </row>
    <row r="6" spans="1:28" ht="22.5" customHeight="1" x14ac:dyDescent="0.25">
      <c r="A6" s="3">
        <v>46109.941620092592</v>
      </c>
      <c r="B6" s="4" t="s">
        <v>65</v>
      </c>
      <c r="C6" s="4" t="s">
        <v>29</v>
      </c>
      <c r="D6" s="4" t="s">
        <v>46</v>
      </c>
      <c r="E6" s="4" t="s">
        <v>31</v>
      </c>
      <c r="F6" s="4" t="s">
        <v>34</v>
      </c>
      <c r="G6" s="4" t="s">
        <v>66</v>
      </c>
      <c r="H6" s="4" t="s">
        <v>34</v>
      </c>
      <c r="I6" s="4" t="s">
        <v>35</v>
      </c>
      <c r="J6" s="4" t="s">
        <v>36</v>
      </c>
      <c r="K6" s="4" t="s">
        <v>41</v>
      </c>
      <c r="L6" s="4" t="s">
        <v>67</v>
      </c>
      <c r="M6" s="4" t="s">
        <v>39</v>
      </c>
      <c r="N6" s="4" t="s">
        <v>68</v>
      </c>
      <c r="O6" s="4">
        <v>8</v>
      </c>
      <c r="P6" s="4" t="s">
        <v>41</v>
      </c>
      <c r="Q6" s="4" t="s">
        <v>34</v>
      </c>
      <c r="R6" s="4" t="s">
        <v>42</v>
      </c>
      <c r="S6" s="4" t="s">
        <v>42</v>
      </c>
      <c r="T6" s="4" t="s">
        <v>34</v>
      </c>
      <c r="U6" s="4" t="s">
        <v>34</v>
      </c>
      <c r="V6" s="4" t="s">
        <v>34</v>
      </c>
      <c r="W6" s="4" t="s">
        <v>34</v>
      </c>
      <c r="X6" s="4" t="s">
        <v>34</v>
      </c>
      <c r="Y6" s="4" t="s">
        <v>39</v>
      </c>
      <c r="Z6" s="4" t="s">
        <v>34</v>
      </c>
      <c r="AA6" s="4" t="s">
        <v>69</v>
      </c>
      <c r="AB6" s="4">
        <v>7</v>
      </c>
    </row>
    <row r="7" spans="1:28" ht="22.5" customHeight="1" x14ac:dyDescent="0.25">
      <c r="A7" s="3">
        <v>46109.943199942129</v>
      </c>
      <c r="B7" s="4" t="s">
        <v>70</v>
      </c>
      <c r="C7" s="4" t="s">
        <v>29</v>
      </c>
      <c r="D7" s="4" t="s">
        <v>46</v>
      </c>
      <c r="E7" s="4" t="s">
        <v>31</v>
      </c>
      <c r="F7" s="4" t="s">
        <v>71</v>
      </c>
      <c r="G7" s="4" t="s">
        <v>34</v>
      </c>
      <c r="H7" s="4" t="s">
        <v>34</v>
      </c>
      <c r="I7" s="4" t="s">
        <v>35</v>
      </c>
      <c r="J7" s="4" t="s">
        <v>72</v>
      </c>
      <c r="K7" s="4" t="s">
        <v>61</v>
      </c>
      <c r="L7" s="4" t="s">
        <v>73</v>
      </c>
      <c r="M7" s="4" t="s">
        <v>39</v>
      </c>
      <c r="N7" s="4" t="s">
        <v>74</v>
      </c>
      <c r="O7" s="4">
        <v>9</v>
      </c>
      <c r="P7" s="4" t="s">
        <v>55</v>
      </c>
      <c r="Q7" s="4" t="s">
        <v>55</v>
      </c>
      <c r="R7" s="4" t="s">
        <v>42</v>
      </c>
      <c r="S7" s="4" t="s">
        <v>34</v>
      </c>
      <c r="T7" s="4" t="s">
        <v>34</v>
      </c>
      <c r="U7" s="4" t="s">
        <v>34</v>
      </c>
      <c r="V7" s="4" t="s">
        <v>42</v>
      </c>
      <c r="W7" s="4" t="s">
        <v>55</v>
      </c>
      <c r="X7" s="4" t="s">
        <v>42</v>
      </c>
      <c r="Y7" s="4" t="s">
        <v>43</v>
      </c>
      <c r="Z7" s="4" t="s">
        <v>75</v>
      </c>
      <c r="AA7" s="4" t="s">
        <v>76</v>
      </c>
      <c r="AB7" s="4">
        <v>10</v>
      </c>
    </row>
    <row r="8" spans="1:28" ht="22.5" customHeight="1" x14ac:dyDescent="0.25">
      <c r="A8" s="3">
        <v>46109.943764097217</v>
      </c>
      <c r="B8" s="4" t="s">
        <v>77</v>
      </c>
      <c r="C8" s="4" t="s">
        <v>29</v>
      </c>
      <c r="D8" s="4" t="s">
        <v>46</v>
      </c>
      <c r="E8" s="4" t="s">
        <v>31</v>
      </c>
      <c r="F8" s="4" t="s">
        <v>58</v>
      </c>
      <c r="G8" s="4" t="s">
        <v>34</v>
      </c>
      <c r="H8" s="4" t="s">
        <v>78</v>
      </c>
      <c r="I8" s="4" t="s">
        <v>35</v>
      </c>
      <c r="J8" s="4" t="s">
        <v>60</v>
      </c>
      <c r="K8" s="4" t="s">
        <v>41</v>
      </c>
      <c r="L8" s="4" t="s">
        <v>79</v>
      </c>
      <c r="M8" s="4" t="s">
        <v>39</v>
      </c>
      <c r="N8" s="4" t="s">
        <v>80</v>
      </c>
      <c r="O8" s="4">
        <v>7</v>
      </c>
      <c r="P8" s="4" t="s">
        <v>81</v>
      </c>
      <c r="Q8" s="4" t="s">
        <v>42</v>
      </c>
      <c r="R8" s="4" t="s">
        <v>42</v>
      </c>
      <c r="S8" s="4" t="s">
        <v>42</v>
      </c>
      <c r="T8" s="4" t="s">
        <v>42</v>
      </c>
      <c r="U8" s="4" t="s">
        <v>34</v>
      </c>
      <c r="V8" s="4" t="s">
        <v>42</v>
      </c>
      <c r="W8" s="4" t="s">
        <v>42</v>
      </c>
      <c r="X8" s="4" t="s">
        <v>42</v>
      </c>
      <c r="Y8" s="4" t="s">
        <v>39</v>
      </c>
      <c r="Z8" s="4" t="s">
        <v>71</v>
      </c>
      <c r="AA8" s="4" t="s">
        <v>82</v>
      </c>
      <c r="AB8" s="4">
        <v>7</v>
      </c>
    </row>
    <row r="9" spans="1:28" ht="22.5" customHeight="1" x14ac:dyDescent="0.25">
      <c r="A9" s="3">
        <v>46109.944022129624</v>
      </c>
      <c r="B9" s="4" t="s">
        <v>83</v>
      </c>
      <c r="C9" s="4" t="s">
        <v>84</v>
      </c>
      <c r="D9" s="4" t="s">
        <v>46</v>
      </c>
      <c r="E9" s="4" t="s">
        <v>31</v>
      </c>
      <c r="F9" s="4" t="s">
        <v>55</v>
      </c>
      <c r="G9" s="4" t="s">
        <v>85</v>
      </c>
      <c r="H9" s="4" t="s">
        <v>86</v>
      </c>
      <c r="I9" s="4" t="s">
        <v>55</v>
      </c>
      <c r="J9" s="4" t="s">
        <v>60</v>
      </c>
      <c r="K9" s="4" t="s">
        <v>41</v>
      </c>
      <c r="L9" s="4" t="s">
        <v>87</v>
      </c>
      <c r="M9" s="4" t="s">
        <v>39</v>
      </c>
      <c r="N9" s="4" t="s">
        <v>88</v>
      </c>
      <c r="O9" s="4">
        <v>9</v>
      </c>
      <c r="P9" s="4" t="s">
        <v>41</v>
      </c>
      <c r="Q9" s="4" t="s">
        <v>55</v>
      </c>
      <c r="R9" s="4" t="s">
        <v>55</v>
      </c>
      <c r="S9" s="4" t="s">
        <v>42</v>
      </c>
      <c r="T9" s="4" t="s">
        <v>55</v>
      </c>
      <c r="U9" s="4" t="s">
        <v>55</v>
      </c>
      <c r="V9" s="4" t="s">
        <v>55</v>
      </c>
      <c r="W9" s="4" t="s">
        <v>55</v>
      </c>
      <c r="X9" s="4" t="s">
        <v>37</v>
      </c>
      <c r="Y9" s="4" t="s">
        <v>89</v>
      </c>
      <c r="Z9" s="4" t="s">
        <v>34</v>
      </c>
      <c r="AA9" s="4" t="s">
        <v>90</v>
      </c>
      <c r="AB9" s="4">
        <v>10</v>
      </c>
    </row>
    <row r="10" spans="1:28" ht="22.5" customHeight="1" x14ac:dyDescent="0.25">
      <c r="A10" s="3">
        <v>46109.944889027778</v>
      </c>
      <c r="B10" s="4" t="s">
        <v>91</v>
      </c>
      <c r="C10" s="4" t="s">
        <v>84</v>
      </c>
      <c r="D10" s="4" t="s">
        <v>46</v>
      </c>
      <c r="E10" s="4" t="s">
        <v>31</v>
      </c>
      <c r="F10" s="4" t="s">
        <v>92</v>
      </c>
      <c r="G10" s="4" t="s">
        <v>93</v>
      </c>
      <c r="H10" s="4" t="s">
        <v>41</v>
      </c>
      <c r="I10" s="4" t="s">
        <v>71</v>
      </c>
      <c r="J10" s="4" t="s">
        <v>47</v>
      </c>
      <c r="K10" s="4" t="s">
        <v>41</v>
      </c>
      <c r="L10" s="4" t="s">
        <v>94</v>
      </c>
      <c r="M10" s="4" t="s">
        <v>39</v>
      </c>
      <c r="N10" s="4" t="s">
        <v>95</v>
      </c>
      <c r="O10" s="4">
        <v>10</v>
      </c>
      <c r="P10" s="4" t="s">
        <v>96</v>
      </c>
      <c r="Q10" s="4" t="s">
        <v>42</v>
      </c>
      <c r="R10" s="4" t="s">
        <v>42</v>
      </c>
      <c r="S10" s="4" t="s">
        <v>42</v>
      </c>
      <c r="T10" s="4" t="s">
        <v>42</v>
      </c>
      <c r="U10" s="4" t="s">
        <v>42</v>
      </c>
      <c r="V10" s="4" t="s">
        <v>42</v>
      </c>
      <c r="W10" s="4" t="s">
        <v>42</v>
      </c>
      <c r="X10" s="4" t="s">
        <v>42</v>
      </c>
      <c r="Y10" s="4" t="s">
        <v>89</v>
      </c>
      <c r="Z10" s="4" t="s">
        <v>75</v>
      </c>
      <c r="AA10" s="4" t="s">
        <v>97</v>
      </c>
      <c r="AB10" s="4">
        <v>1</v>
      </c>
    </row>
    <row r="11" spans="1:28" ht="22.5" customHeight="1" x14ac:dyDescent="0.25">
      <c r="A11" s="3">
        <v>46109.952551249997</v>
      </c>
      <c r="B11" s="4" t="s">
        <v>98</v>
      </c>
      <c r="C11" s="4" t="s">
        <v>29</v>
      </c>
      <c r="D11" s="4" t="s">
        <v>46</v>
      </c>
      <c r="E11" s="4" t="s">
        <v>31</v>
      </c>
      <c r="F11" s="4" t="s">
        <v>99</v>
      </c>
      <c r="G11" s="4" t="s">
        <v>37</v>
      </c>
      <c r="H11" s="4" t="s">
        <v>100</v>
      </c>
      <c r="I11" s="4" t="s">
        <v>37</v>
      </c>
      <c r="J11" s="4" t="s">
        <v>60</v>
      </c>
      <c r="K11" s="4" t="s">
        <v>34</v>
      </c>
      <c r="L11" s="4" t="s">
        <v>101</v>
      </c>
      <c r="M11" s="4" t="s">
        <v>39</v>
      </c>
      <c r="N11" s="4" t="s">
        <v>102</v>
      </c>
      <c r="O11" s="4">
        <v>8</v>
      </c>
      <c r="P11" s="4" t="s">
        <v>41</v>
      </c>
      <c r="Q11" s="4" t="s">
        <v>42</v>
      </c>
      <c r="R11" s="4" t="s">
        <v>42</v>
      </c>
      <c r="S11" s="4" t="s">
        <v>42</v>
      </c>
      <c r="T11" s="4" t="s">
        <v>37</v>
      </c>
      <c r="U11" s="4" t="s">
        <v>37</v>
      </c>
      <c r="V11" s="4" t="s">
        <v>42</v>
      </c>
      <c r="W11" s="4" t="s">
        <v>42</v>
      </c>
      <c r="X11" s="4" t="s">
        <v>37</v>
      </c>
      <c r="Y11" s="4" t="s">
        <v>89</v>
      </c>
      <c r="Z11" s="4" t="s">
        <v>34</v>
      </c>
      <c r="AA11" s="4" t="s">
        <v>103</v>
      </c>
      <c r="AB11" s="4">
        <v>5</v>
      </c>
    </row>
    <row r="12" spans="1:28" ht="22.5" customHeight="1" x14ac:dyDescent="0.25">
      <c r="A12" s="3">
        <v>46109.955630335651</v>
      </c>
      <c r="B12" s="4" t="s">
        <v>104</v>
      </c>
      <c r="C12" s="4" t="s">
        <v>29</v>
      </c>
      <c r="D12" s="4" t="s">
        <v>46</v>
      </c>
      <c r="E12" s="4" t="s">
        <v>31</v>
      </c>
      <c r="F12" s="4" t="s">
        <v>92</v>
      </c>
      <c r="G12" s="4" t="s">
        <v>105</v>
      </c>
      <c r="H12" s="4" t="s">
        <v>86</v>
      </c>
      <c r="I12" s="4" t="s">
        <v>71</v>
      </c>
      <c r="J12" s="4" t="s">
        <v>47</v>
      </c>
      <c r="K12" s="4" t="s">
        <v>34</v>
      </c>
      <c r="L12" s="4" t="s">
        <v>106</v>
      </c>
      <c r="M12" s="4" t="s">
        <v>39</v>
      </c>
      <c r="N12" s="4" t="s">
        <v>107</v>
      </c>
      <c r="O12" s="4">
        <v>10</v>
      </c>
      <c r="P12" s="4" t="s">
        <v>55</v>
      </c>
      <c r="Q12" s="4" t="s">
        <v>42</v>
      </c>
      <c r="R12" s="4" t="s">
        <v>42</v>
      </c>
      <c r="S12" s="4" t="s">
        <v>42</v>
      </c>
      <c r="T12" s="4" t="s">
        <v>42</v>
      </c>
      <c r="U12" s="4" t="s">
        <v>42</v>
      </c>
      <c r="V12" s="4" t="s">
        <v>42</v>
      </c>
      <c r="W12" s="4" t="s">
        <v>42</v>
      </c>
      <c r="X12" s="4" t="s">
        <v>55</v>
      </c>
      <c r="Y12" s="4" t="s">
        <v>43</v>
      </c>
      <c r="Z12" s="4" t="s">
        <v>75</v>
      </c>
      <c r="AA12" s="4" t="s">
        <v>108</v>
      </c>
      <c r="AB12" s="4">
        <v>1</v>
      </c>
    </row>
    <row r="13" spans="1:28" ht="22.5" customHeight="1" x14ac:dyDescent="0.25">
      <c r="A13" s="3">
        <v>46109.956220532404</v>
      </c>
      <c r="B13" s="4" t="s">
        <v>109</v>
      </c>
      <c r="C13" s="4" t="s">
        <v>84</v>
      </c>
      <c r="D13" s="4" t="s">
        <v>46</v>
      </c>
      <c r="E13" s="4" t="s">
        <v>31</v>
      </c>
      <c r="F13" s="4" t="s">
        <v>71</v>
      </c>
      <c r="G13" s="4" t="s">
        <v>66</v>
      </c>
      <c r="H13" s="4" t="s">
        <v>34</v>
      </c>
      <c r="I13" s="4" t="s">
        <v>34</v>
      </c>
      <c r="J13" s="4" t="s">
        <v>72</v>
      </c>
      <c r="K13" s="4" t="s">
        <v>41</v>
      </c>
      <c r="L13" s="4" t="s">
        <v>110</v>
      </c>
      <c r="M13" s="4" t="s">
        <v>39</v>
      </c>
      <c r="N13" s="4" t="s">
        <v>111</v>
      </c>
      <c r="O13" s="4">
        <v>8</v>
      </c>
      <c r="P13" s="4" t="s">
        <v>37</v>
      </c>
      <c r="Q13" s="4" t="s">
        <v>42</v>
      </c>
      <c r="R13" s="4" t="s">
        <v>34</v>
      </c>
      <c r="S13" s="4" t="s">
        <v>37</v>
      </c>
      <c r="T13" s="4" t="s">
        <v>55</v>
      </c>
      <c r="U13" s="4" t="s">
        <v>55</v>
      </c>
      <c r="V13" s="4" t="s">
        <v>34</v>
      </c>
      <c r="W13" s="4" t="s">
        <v>55</v>
      </c>
      <c r="X13" s="4" t="s">
        <v>42</v>
      </c>
      <c r="Y13" s="4" t="s">
        <v>43</v>
      </c>
      <c r="Z13" s="4" t="s">
        <v>34</v>
      </c>
      <c r="AA13" s="4" t="s">
        <v>112</v>
      </c>
      <c r="AB13" s="4">
        <v>9</v>
      </c>
    </row>
    <row r="14" spans="1:28" ht="22.5" customHeight="1" x14ac:dyDescent="0.25">
      <c r="A14" s="3">
        <v>46109.956585474538</v>
      </c>
      <c r="B14" s="4" t="s">
        <v>113</v>
      </c>
      <c r="C14" s="4" t="s">
        <v>29</v>
      </c>
      <c r="D14" s="4" t="s">
        <v>46</v>
      </c>
      <c r="E14" s="4" t="s">
        <v>31</v>
      </c>
      <c r="F14" s="4" t="s">
        <v>34</v>
      </c>
      <c r="G14" s="4" t="s">
        <v>114</v>
      </c>
      <c r="H14" s="4" t="s">
        <v>114</v>
      </c>
      <c r="I14" s="4" t="s">
        <v>55</v>
      </c>
      <c r="J14" s="4" t="s">
        <v>60</v>
      </c>
      <c r="K14" s="4" t="s">
        <v>34</v>
      </c>
      <c r="L14" s="4" t="s">
        <v>115</v>
      </c>
      <c r="M14" s="4" t="s">
        <v>39</v>
      </c>
      <c r="N14" s="4" t="s">
        <v>116</v>
      </c>
      <c r="O14" s="4">
        <v>10</v>
      </c>
      <c r="P14" s="4" t="s">
        <v>117</v>
      </c>
      <c r="Q14" s="4" t="s">
        <v>55</v>
      </c>
      <c r="R14" s="4" t="s">
        <v>34</v>
      </c>
      <c r="S14" s="4" t="s">
        <v>34</v>
      </c>
      <c r="T14" s="4" t="s">
        <v>34</v>
      </c>
      <c r="U14" s="4" t="s">
        <v>34</v>
      </c>
      <c r="V14" s="4" t="s">
        <v>55</v>
      </c>
      <c r="W14" s="4" t="s">
        <v>34</v>
      </c>
      <c r="X14" s="4" t="s">
        <v>55</v>
      </c>
      <c r="Y14" s="4" t="s">
        <v>89</v>
      </c>
      <c r="Z14" s="4" t="s">
        <v>34</v>
      </c>
      <c r="AA14" s="4" t="s">
        <v>118</v>
      </c>
      <c r="AB14" s="4">
        <v>8</v>
      </c>
    </row>
    <row r="15" spans="1:28" ht="22.5" customHeight="1" x14ac:dyDescent="0.25">
      <c r="A15" s="3">
        <v>46109.960754178246</v>
      </c>
      <c r="B15" s="4" t="s">
        <v>119</v>
      </c>
      <c r="C15" s="4" t="s">
        <v>29</v>
      </c>
      <c r="D15" s="4" t="s">
        <v>46</v>
      </c>
      <c r="E15" s="4" t="s">
        <v>31</v>
      </c>
      <c r="F15" s="4" t="s">
        <v>71</v>
      </c>
      <c r="G15" s="4" t="s">
        <v>120</v>
      </c>
      <c r="H15" s="4" t="s">
        <v>34</v>
      </c>
      <c r="I15" s="4" t="s">
        <v>71</v>
      </c>
      <c r="J15" s="4" t="s">
        <v>60</v>
      </c>
      <c r="K15" s="4" t="s">
        <v>41</v>
      </c>
      <c r="L15" s="4" t="s">
        <v>121</v>
      </c>
      <c r="M15" s="4" t="s">
        <v>39</v>
      </c>
      <c r="N15" s="4" t="s">
        <v>122</v>
      </c>
      <c r="O15" s="4">
        <v>7</v>
      </c>
      <c r="P15" s="4" t="s">
        <v>123</v>
      </c>
      <c r="Q15" s="4" t="s">
        <v>34</v>
      </c>
      <c r="R15" s="4" t="s">
        <v>42</v>
      </c>
      <c r="S15" s="4" t="s">
        <v>37</v>
      </c>
      <c r="T15" s="4" t="s">
        <v>37</v>
      </c>
      <c r="U15" s="4" t="s">
        <v>34</v>
      </c>
      <c r="V15" s="4" t="s">
        <v>42</v>
      </c>
      <c r="W15" s="4" t="s">
        <v>42</v>
      </c>
      <c r="X15" s="4" t="s">
        <v>42</v>
      </c>
      <c r="Y15" s="4" t="s">
        <v>43</v>
      </c>
      <c r="Z15" s="4" t="s">
        <v>75</v>
      </c>
      <c r="AA15" s="4" t="s">
        <v>124</v>
      </c>
      <c r="AB15" s="4">
        <v>2</v>
      </c>
    </row>
    <row r="16" spans="1:28" ht="22.5" customHeight="1" x14ac:dyDescent="0.25">
      <c r="A16" s="3">
        <v>46109.965336215275</v>
      </c>
      <c r="B16" s="4" t="s">
        <v>125</v>
      </c>
      <c r="C16" s="4" t="s">
        <v>84</v>
      </c>
      <c r="D16" s="4" t="s">
        <v>126</v>
      </c>
      <c r="E16" s="4" t="s">
        <v>31</v>
      </c>
      <c r="F16" s="4" t="s">
        <v>41</v>
      </c>
      <c r="G16" s="4" t="s">
        <v>127</v>
      </c>
      <c r="H16" s="4" t="s">
        <v>78</v>
      </c>
      <c r="I16" s="4" t="s">
        <v>71</v>
      </c>
      <c r="J16" s="4" t="s">
        <v>60</v>
      </c>
      <c r="K16" s="4" t="s">
        <v>41</v>
      </c>
      <c r="L16" s="4" t="s">
        <v>128</v>
      </c>
      <c r="M16" s="4" t="s">
        <v>39</v>
      </c>
      <c r="N16" s="4" t="s">
        <v>129</v>
      </c>
      <c r="O16" s="4">
        <v>10</v>
      </c>
      <c r="P16" s="4" t="s">
        <v>34</v>
      </c>
      <c r="Q16" s="4" t="s">
        <v>42</v>
      </c>
      <c r="R16" s="4" t="s">
        <v>34</v>
      </c>
      <c r="S16" s="4" t="s">
        <v>42</v>
      </c>
      <c r="T16" s="4" t="s">
        <v>42</v>
      </c>
      <c r="U16" s="4" t="s">
        <v>42</v>
      </c>
      <c r="V16" s="4" t="s">
        <v>42</v>
      </c>
      <c r="W16" s="4" t="s">
        <v>42</v>
      </c>
      <c r="X16" s="4" t="s">
        <v>37</v>
      </c>
      <c r="Y16" s="4" t="s">
        <v>89</v>
      </c>
      <c r="Z16" s="4" t="s">
        <v>75</v>
      </c>
      <c r="AA16" s="4" t="s">
        <v>130</v>
      </c>
      <c r="AB16" s="4">
        <v>8</v>
      </c>
    </row>
    <row r="17" spans="1:28" ht="22.5" customHeight="1" x14ac:dyDescent="0.25">
      <c r="A17" s="3">
        <v>46109.971240300925</v>
      </c>
      <c r="B17" s="4" t="s">
        <v>131</v>
      </c>
      <c r="C17" s="4" t="s">
        <v>29</v>
      </c>
      <c r="D17" s="4" t="s">
        <v>46</v>
      </c>
      <c r="E17" s="4" t="s">
        <v>31</v>
      </c>
      <c r="F17" s="4" t="s">
        <v>58</v>
      </c>
      <c r="G17" s="4" t="s">
        <v>66</v>
      </c>
      <c r="H17" s="4" t="s">
        <v>100</v>
      </c>
      <c r="I17" s="4" t="s">
        <v>37</v>
      </c>
      <c r="J17" s="4" t="s">
        <v>60</v>
      </c>
      <c r="K17" s="4" t="s">
        <v>34</v>
      </c>
      <c r="L17" s="4" t="s">
        <v>132</v>
      </c>
      <c r="M17" s="4" t="s">
        <v>43</v>
      </c>
      <c r="N17" s="4" t="s">
        <v>133</v>
      </c>
      <c r="O17" s="4">
        <v>7</v>
      </c>
      <c r="P17" s="4" t="s">
        <v>34</v>
      </c>
      <c r="Q17" s="4" t="s">
        <v>37</v>
      </c>
      <c r="R17" s="4" t="s">
        <v>34</v>
      </c>
      <c r="S17" s="4" t="s">
        <v>34</v>
      </c>
      <c r="T17" s="4" t="s">
        <v>37</v>
      </c>
      <c r="U17" s="4" t="s">
        <v>37</v>
      </c>
      <c r="V17" s="4" t="s">
        <v>37</v>
      </c>
      <c r="W17" s="4" t="s">
        <v>37</v>
      </c>
      <c r="X17" s="4" t="s">
        <v>37</v>
      </c>
      <c r="Y17" s="4" t="s">
        <v>89</v>
      </c>
      <c r="Z17" s="4" t="s">
        <v>34</v>
      </c>
      <c r="AA17" s="4" t="s">
        <v>134</v>
      </c>
      <c r="AB17" s="4">
        <v>5</v>
      </c>
    </row>
    <row r="18" spans="1:28" ht="22.5" customHeight="1" x14ac:dyDescent="0.25">
      <c r="A18" s="3">
        <v>46109.972358564817</v>
      </c>
      <c r="B18" s="4" t="s">
        <v>135</v>
      </c>
      <c r="C18" s="4" t="s">
        <v>29</v>
      </c>
      <c r="D18" s="4" t="s">
        <v>46</v>
      </c>
      <c r="E18" s="4" t="s">
        <v>31</v>
      </c>
      <c r="F18" s="4" t="s">
        <v>92</v>
      </c>
      <c r="G18" s="4" t="s">
        <v>66</v>
      </c>
      <c r="H18" s="4" t="s">
        <v>136</v>
      </c>
      <c r="I18" s="4" t="s">
        <v>71</v>
      </c>
      <c r="J18" s="4" t="s">
        <v>47</v>
      </c>
      <c r="K18" s="4" t="s">
        <v>34</v>
      </c>
      <c r="L18" s="4" t="s">
        <v>137</v>
      </c>
      <c r="M18" s="4" t="s">
        <v>39</v>
      </c>
      <c r="N18" s="4" t="s">
        <v>138</v>
      </c>
      <c r="O18" s="4">
        <v>8</v>
      </c>
      <c r="P18" s="4" t="s">
        <v>139</v>
      </c>
      <c r="Q18" s="4" t="s">
        <v>42</v>
      </c>
      <c r="R18" s="4" t="s">
        <v>42</v>
      </c>
      <c r="S18" s="4" t="s">
        <v>34</v>
      </c>
      <c r="T18" s="4" t="s">
        <v>34</v>
      </c>
      <c r="U18" s="4" t="s">
        <v>34</v>
      </c>
      <c r="V18" s="4" t="s">
        <v>42</v>
      </c>
      <c r="W18" s="4" t="s">
        <v>34</v>
      </c>
      <c r="X18" s="4" t="s">
        <v>55</v>
      </c>
      <c r="Y18" s="4" t="s">
        <v>43</v>
      </c>
      <c r="Z18" s="4" t="s">
        <v>75</v>
      </c>
      <c r="AA18" s="4" t="s">
        <v>140</v>
      </c>
      <c r="AB18" s="4">
        <v>5</v>
      </c>
    </row>
    <row r="19" spans="1:28" ht="22.5" customHeight="1" x14ac:dyDescent="0.25">
      <c r="A19" s="3">
        <v>46109.978767708337</v>
      </c>
      <c r="B19" s="4" t="s">
        <v>141</v>
      </c>
      <c r="C19" s="4" t="s">
        <v>84</v>
      </c>
      <c r="D19" s="4" t="s">
        <v>46</v>
      </c>
      <c r="E19" s="4" t="s">
        <v>31</v>
      </c>
      <c r="F19" s="4" t="s">
        <v>34</v>
      </c>
      <c r="G19" s="4" t="s">
        <v>142</v>
      </c>
      <c r="H19" s="4" t="s">
        <v>34</v>
      </c>
      <c r="I19" s="4" t="s">
        <v>34</v>
      </c>
      <c r="J19" s="4" t="s">
        <v>60</v>
      </c>
      <c r="K19" s="4" t="s">
        <v>41</v>
      </c>
      <c r="L19" s="4" t="s">
        <v>143</v>
      </c>
      <c r="M19" s="4" t="s">
        <v>39</v>
      </c>
      <c r="N19" s="4" t="s">
        <v>144</v>
      </c>
      <c r="O19" s="4">
        <v>10</v>
      </c>
      <c r="P19" s="4" t="s">
        <v>41</v>
      </c>
      <c r="Q19" s="4" t="s">
        <v>34</v>
      </c>
      <c r="R19" s="4" t="s">
        <v>34</v>
      </c>
      <c r="S19" s="4" t="s">
        <v>34</v>
      </c>
      <c r="T19" s="4" t="s">
        <v>34</v>
      </c>
      <c r="U19" s="4" t="s">
        <v>34</v>
      </c>
      <c r="V19" s="4" t="s">
        <v>34</v>
      </c>
      <c r="W19" s="4" t="s">
        <v>34</v>
      </c>
      <c r="X19" s="4" t="s">
        <v>34</v>
      </c>
      <c r="Y19" s="4" t="s">
        <v>89</v>
      </c>
      <c r="Z19" s="4" t="s">
        <v>34</v>
      </c>
      <c r="AA19" s="4" t="s">
        <v>145</v>
      </c>
      <c r="AB19" s="4">
        <v>5</v>
      </c>
    </row>
    <row r="20" spans="1:28" ht="22.5" customHeight="1" x14ac:dyDescent="0.25">
      <c r="A20" s="3">
        <v>46109.97933725694</v>
      </c>
      <c r="B20" s="4" t="s">
        <v>146</v>
      </c>
      <c r="C20" s="4" t="s">
        <v>29</v>
      </c>
      <c r="D20" s="4" t="s">
        <v>46</v>
      </c>
      <c r="E20" s="4" t="s">
        <v>147</v>
      </c>
      <c r="F20" s="4" t="s">
        <v>92</v>
      </c>
      <c r="G20" s="4" t="s">
        <v>66</v>
      </c>
      <c r="H20" s="4" t="s">
        <v>148</v>
      </c>
      <c r="I20" s="4" t="s">
        <v>71</v>
      </c>
      <c r="J20" s="4" t="s">
        <v>60</v>
      </c>
      <c r="K20" s="4" t="s">
        <v>41</v>
      </c>
      <c r="L20" s="4" t="s">
        <v>149</v>
      </c>
      <c r="M20" s="4" t="s">
        <v>43</v>
      </c>
      <c r="N20" s="4" t="s">
        <v>150</v>
      </c>
      <c r="O20" s="4">
        <v>4</v>
      </c>
      <c r="P20" s="4" t="s">
        <v>151</v>
      </c>
      <c r="Q20" s="4" t="s">
        <v>42</v>
      </c>
      <c r="R20" s="4" t="s">
        <v>42</v>
      </c>
      <c r="S20" s="4" t="s">
        <v>42</v>
      </c>
      <c r="T20" s="4" t="s">
        <v>34</v>
      </c>
      <c r="U20" s="4" t="s">
        <v>42</v>
      </c>
      <c r="V20" s="4" t="s">
        <v>34</v>
      </c>
      <c r="W20" s="4" t="s">
        <v>37</v>
      </c>
      <c r="X20" s="4" t="s">
        <v>37</v>
      </c>
      <c r="Y20" s="4" t="s">
        <v>43</v>
      </c>
      <c r="Z20" s="4" t="s">
        <v>75</v>
      </c>
      <c r="AA20" s="4" t="s">
        <v>152</v>
      </c>
      <c r="AB20" s="4">
        <v>1</v>
      </c>
    </row>
    <row r="21" spans="1:28" ht="22.5" customHeight="1" x14ac:dyDescent="0.25">
      <c r="A21" s="3">
        <v>46109.979625879627</v>
      </c>
      <c r="B21" s="4" t="s">
        <v>153</v>
      </c>
      <c r="C21" s="4" t="s">
        <v>84</v>
      </c>
      <c r="D21" s="4" t="s">
        <v>46</v>
      </c>
      <c r="E21" s="4" t="s">
        <v>31</v>
      </c>
      <c r="F21" s="4" t="s">
        <v>154</v>
      </c>
      <c r="G21" s="4" t="s">
        <v>71</v>
      </c>
      <c r="H21" s="4" t="s">
        <v>41</v>
      </c>
      <c r="I21" s="4" t="s">
        <v>71</v>
      </c>
      <c r="J21" s="4" t="s">
        <v>72</v>
      </c>
      <c r="K21" s="4" t="s">
        <v>41</v>
      </c>
      <c r="L21" s="4" t="s">
        <v>155</v>
      </c>
      <c r="M21" s="4" t="s">
        <v>39</v>
      </c>
      <c r="N21" s="4" t="s">
        <v>156</v>
      </c>
      <c r="O21" s="4">
        <v>4</v>
      </c>
      <c r="P21" s="4" t="s">
        <v>34</v>
      </c>
      <c r="Q21" s="4" t="s">
        <v>42</v>
      </c>
      <c r="R21" s="4" t="s">
        <v>42</v>
      </c>
      <c r="S21" s="4" t="s">
        <v>42</v>
      </c>
      <c r="T21" s="4" t="s">
        <v>42</v>
      </c>
      <c r="U21" s="4" t="s">
        <v>42</v>
      </c>
      <c r="V21" s="4" t="s">
        <v>42</v>
      </c>
      <c r="W21" s="4" t="s">
        <v>42</v>
      </c>
      <c r="X21" s="4" t="s">
        <v>42</v>
      </c>
      <c r="Y21" s="4" t="s">
        <v>43</v>
      </c>
      <c r="Z21" s="4" t="s">
        <v>34</v>
      </c>
      <c r="AA21" s="4" t="s">
        <v>157</v>
      </c>
      <c r="AB21" s="4">
        <v>3</v>
      </c>
    </row>
    <row r="22" spans="1:28" ht="22.5" customHeight="1" x14ac:dyDescent="0.25">
      <c r="A22" s="3">
        <v>46109.986391030092</v>
      </c>
      <c r="B22" s="4" t="s">
        <v>158</v>
      </c>
      <c r="C22" s="4" t="s">
        <v>29</v>
      </c>
      <c r="D22" s="4" t="s">
        <v>46</v>
      </c>
      <c r="E22" s="4" t="s">
        <v>159</v>
      </c>
      <c r="F22" s="4" t="s">
        <v>160</v>
      </c>
      <c r="G22" s="4" t="s">
        <v>85</v>
      </c>
      <c r="H22" s="4" t="s">
        <v>161</v>
      </c>
      <c r="I22" s="4" t="s">
        <v>71</v>
      </c>
      <c r="J22" s="4" t="s">
        <v>36</v>
      </c>
      <c r="K22" s="4" t="s">
        <v>41</v>
      </c>
      <c r="L22" s="4" t="s">
        <v>162</v>
      </c>
      <c r="M22" s="4" t="s">
        <v>39</v>
      </c>
      <c r="N22" s="4" t="s">
        <v>163</v>
      </c>
      <c r="O22" s="4">
        <v>7</v>
      </c>
      <c r="P22" s="4" t="s">
        <v>55</v>
      </c>
      <c r="Q22" s="4" t="s">
        <v>42</v>
      </c>
      <c r="R22" s="4" t="s">
        <v>42</v>
      </c>
      <c r="S22" s="4" t="s">
        <v>42</v>
      </c>
      <c r="T22" s="4" t="s">
        <v>42</v>
      </c>
      <c r="U22" s="4" t="s">
        <v>42</v>
      </c>
      <c r="V22" s="4" t="s">
        <v>55</v>
      </c>
      <c r="W22" s="4" t="s">
        <v>55</v>
      </c>
      <c r="X22" s="4" t="s">
        <v>55</v>
      </c>
      <c r="Y22" s="4" t="s">
        <v>43</v>
      </c>
      <c r="Z22" s="4" t="s">
        <v>75</v>
      </c>
      <c r="AA22" s="4" t="s">
        <v>75</v>
      </c>
      <c r="AB22" s="4">
        <v>6</v>
      </c>
    </row>
    <row r="23" spans="1:28" ht="22.5" customHeight="1" x14ac:dyDescent="0.25">
      <c r="A23" s="3">
        <v>46109.99404928241</v>
      </c>
      <c r="B23" s="4" t="s">
        <v>164</v>
      </c>
      <c r="C23" s="4" t="s">
        <v>29</v>
      </c>
      <c r="D23" s="4" t="s">
        <v>46</v>
      </c>
      <c r="E23" s="4" t="s">
        <v>165</v>
      </c>
      <c r="F23" s="4" t="s">
        <v>34</v>
      </c>
      <c r="G23" s="4" t="s">
        <v>71</v>
      </c>
      <c r="H23" s="4" t="s">
        <v>41</v>
      </c>
      <c r="I23" s="4" t="s">
        <v>71</v>
      </c>
      <c r="J23" s="4" t="s">
        <v>60</v>
      </c>
      <c r="K23" s="4" t="s">
        <v>41</v>
      </c>
      <c r="L23" s="4" t="s">
        <v>166</v>
      </c>
      <c r="M23" s="4" t="s">
        <v>39</v>
      </c>
      <c r="N23" s="4" t="s">
        <v>167</v>
      </c>
      <c r="O23" s="4">
        <v>10</v>
      </c>
      <c r="P23" s="4" t="s">
        <v>41</v>
      </c>
      <c r="Q23" s="4" t="s">
        <v>42</v>
      </c>
      <c r="R23" s="4" t="s">
        <v>55</v>
      </c>
      <c r="S23" s="4" t="s">
        <v>34</v>
      </c>
      <c r="T23" s="4" t="s">
        <v>42</v>
      </c>
      <c r="U23" s="4" t="s">
        <v>55</v>
      </c>
      <c r="V23" s="4" t="s">
        <v>42</v>
      </c>
      <c r="W23" s="4" t="s">
        <v>42</v>
      </c>
      <c r="X23" s="4" t="s">
        <v>55</v>
      </c>
      <c r="Y23" s="4" t="s">
        <v>89</v>
      </c>
      <c r="Z23" s="4" t="s">
        <v>75</v>
      </c>
      <c r="AA23" s="4" t="s">
        <v>154</v>
      </c>
      <c r="AB23" s="4">
        <v>8</v>
      </c>
    </row>
    <row r="24" spans="1:28" ht="22.5" customHeight="1" x14ac:dyDescent="0.25">
      <c r="A24" s="3">
        <v>46109.996846122682</v>
      </c>
      <c r="B24" s="4" t="s">
        <v>168</v>
      </c>
      <c r="C24" s="4" t="s">
        <v>29</v>
      </c>
      <c r="D24" s="4" t="s">
        <v>46</v>
      </c>
      <c r="E24" s="4" t="s">
        <v>31</v>
      </c>
      <c r="F24" s="4" t="s">
        <v>160</v>
      </c>
      <c r="G24" s="4" t="s">
        <v>59</v>
      </c>
      <c r="H24" s="4" t="s">
        <v>86</v>
      </c>
      <c r="I24" s="4" t="s">
        <v>71</v>
      </c>
      <c r="J24" s="4" t="s">
        <v>60</v>
      </c>
      <c r="K24" s="4" t="s">
        <v>61</v>
      </c>
      <c r="L24" s="4" t="s">
        <v>169</v>
      </c>
      <c r="M24" s="4" t="s">
        <v>39</v>
      </c>
      <c r="N24" s="4" t="s">
        <v>170</v>
      </c>
      <c r="O24" s="4">
        <v>10</v>
      </c>
      <c r="P24" s="4" t="s">
        <v>55</v>
      </c>
      <c r="Q24" s="4" t="s">
        <v>42</v>
      </c>
      <c r="R24" s="4" t="s">
        <v>42</v>
      </c>
      <c r="S24" s="4" t="s">
        <v>42</v>
      </c>
      <c r="T24" s="4" t="s">
        <v>42</v>
      </c>
      <c r="U24" s="4" t="s">
        <v>55</v>
      </c>
      <c r="V24" s="4" t="s">
        <v>55</v>
      </c>
      <c r="W24" s="4" t="s">
        <v>42</v>
      </c>
      <c r="X24" s="4" t="s">
        <v>55</v>
      </c>
      <c r="Y24" s="4" t="s">
        <v>39</v>
      </c>
      <c r="Z24" s="4" t="s">
        <v>34</v>
      </c>
      <c r="AA24" s="4" t="s">
        <v>171</v>
      </c>
      <c r="AB24" s="4">
        <v>7</v>
      </c>
    </row>
    <row r="25" spans="1:28" ht="22.5" customHeight="1" x14ac:dyDescent="0.25">
      <c r="A25" s="3">
        <v>46110.011283993052</v>
      </c>
      <c r="B25" s="4" t="s">
        <v>172</v>
      </c>
      <c r="C25" s="4" t="s">
        <v>29</v>
      </c>
      <c r="D25" s="4" t="s">
        <v>46</v>
      </c>
      <c r="E25" s="4" t="s">
        <v>173</v>
      </c>
      <c r="F25" s="4" t="s">
        <v>34</v>
      </c>
      <c r="G25" s="4" t="s">
        <v>34</v>
      </c>
      <c r="H25" s="4" t="s">
        <v>34</v>
      </c>
      <c r="I25" s="4" t="s">
        <v>34</v>
      </c>
      <c r="J25" s="4" t="s">
        <v>72</v>
      </c>
      <c r="K25" s="4" t="s">
        <v>34</v>
      </c>
      <c r="L25" s="4" t="s">
        <v>174</v>
      </c>
      <c r="M25" s="4" t="s">
        <v>39</v>
      </c>
      <c r="N25" s="4" t="s">
        <v>175</v>
      </c>
      <c r="O25" s="4">
        <v>9</v>
      </c>
      <c r="P25" s="4" t="s">
        <v>37</v>
      </c>
      <c r="Q25" s="4" t="s">
        <v>37</v>
      </c>
      <c r="R25" s="4" t="s">
        <v>37</v>
      </c>
      <c r="S25" s="4" t="s">
        <v>42</v>
      </c>
      <c r="T25" s="4" t="s">
        <v>37</v>
      </c>
      <c r="U25" s="4" t="s">
        <v>34</v>
      </c>
      <c r="V25" s="4" t="s">
        <v>34</v>
      </c>
      <c r="W25" s="4" t="s">
        <v>34</v>
      </c>
      <c r="X25" s="4" t="s">
        <v>42</v>
      </c>
      <c r="Y25" s="4"/>
      <c r="Z25" s="4" t="s">
        <v>71</v>
      </c>
      <c r="AA25" s="4" t="s">
        <v>176</v>
      </c>
      <c r="AB25" s="4">
        <v>9</v>
      </c>
    </row>
    <row r="26" spans="1:28" ht="22.5" customHeight="1" x14ac:dyDescent="0.25">
      <c r="A26" s="3">
        <v>46110.014292939813</v>
      </c>
      <c r="B26" s="4" t="s">
        <v>177</v>
      </c>
      <c r="C26" s="4" t="s">
        <v>84</v>
      </c>
      <c r="D26" s="4" t="s">
        <v>46</v>
      </c>
      <c r="E26" s="4" t="s">
        <v>31</v>
      </c>
      <c r="F26" s="4" t="s">
        <v>41</v>
      </c>
      <c r="G26" s="4" t="s">
        <v>71</v>
      </c>
      <c r="H26" s="4" t="s">
        <v>41</v>
      </c>
      <c r="I26" s="4" t="s">
        <v>71</v>
      </c>
      <c r="J26" s="4" t="s">
        <v>60</v>
      </c>
      <c r="K26" s="4" t="s">
        <v>41</v>
      </c>
      <c r="L26" s="4" t="s">
        <v>178</v>
      </c>
      <c r="M26" s="4" t="s">
        <v>39</v>
      </c>
      <c r="N26" s="4" t="s">
        <v>179</v>
      </c>
      <c r="O26" s="4">
        <v>10</v>
      </c>
      <c r="P26" s="4" t="s">
        <v>34</v>
      </c>
      <c r="Q26" s="4" t="s">
        <v>42</v>
      </c>
      <c r="R26" s="4" t="s">
        <v>37</v>
      </c>
      <c r="S26" s="4" t="s">
        <v>34</v>
      </c>
      <c r="T26" s="4" t="s">
        <v>34</v>
      </c>
      <c r="U26" s="4" t="s">
        <v>42</v>
      </c>
      <c r="V26" s="4" t="s">
        <v>42</v>
      </c>
      <c r="W26" s="4" t="s">
        <v>42</v>
      </c>
      <c r="X26" s="4" t="s">
        <v>42</v>
      </c>
      <c r="Y26" s="4" t="s">
        <v>43</v>
      </c>
      <c r="Z26" s="4" t="s">
        <v>75</v>
      </c>
      <c r="AA26" s="4" t="s">
        <v>180</v>
      </c>
      <c r="AB26" s="4">
        <v>1</v>
      </c>
    </row>
    <row r="27" spans="1:28" ht="22.5" customHeight="1" x14ac:dyDescent="0.25">
      <c r="A27" s="3">
        <v>46110.033938553242</v>
      </c>
      <c r="B27" s="4" t="s">
        <v>181</v>
      </c>
      <c r="C27" s="4" t="s">
        <v>84</v>
      </c>
      <c r="D27" s="4" t="s">
        <v>46</v>
      </c>
      <c r="E27" s="4" t="s">
        <v>31</v>
      </c>
      <c r="F27" s="4" t="s">
        <v>182</v>
      </c>
      <c r="G27" s="4" t="s">
        <v>71</v>
      </c>
      <c r="H27" s="4" t="s">
        <v>41</v>
      </c>
      <c r="I27" s="4" t="s">
        <v>71</v>
      </c>
      <c r="J27" s="4" t="s">
        <v>36</v>
      </c>
      <c r="K27" s="4" t="s">
        <v>61</v>
      </c>
      <c r="L27" s="4" t="s">
        <v>183</v>
      </c>
      <c r="M27" s="4" t="s">
        <v>39</v>
      </c>
      <c r="N27" s="4" t="s">
        <v>184</v>
      </c>
      <c r="O27" s="4">
        <v>10</v>
      </c>
      <c r="P27" s="4" t="s">
        <v>34</v>
      </c>
      <c r="Q27" s="4" t="s">
        <v>42</v>
      </c>
      <c r="R27" s="4" t="s">
        <v>42</v>
      </c>
      <c r="S27" s="4" t="s">
        <v>34</v>
      </c>
      <c r="T27" s="4" t="s">
        <v>42</v>
      </c>
      <c r="U27" s="4" t="s">
        <v>42</v>
      </c>
      <c r="V27" s="4" t="s">
        <v>55</v>
      </c>
      <c r="W27" s="4" t="s">
        <v>34</v>
      </c>
      <c r="X27" s="4" t="s">
        <v>55</v>
      </c>
      <c r="Y27" s="4" t="s">
        <v>39</v>
      </c>
      <c r="Z27" s="4" t="s">
        <v>71</v>
      </c>
      <c r="AA27" s="4" t="s">
        <v>185</v>
      </c>
      <c r="AB27" s="4">
        <v>6</v>
      </c>
    </row>
    <row r="28" spans="1:28" ht="22.5" customHeight="1" x14ac:dyDescent="0.25">
      <c r="A28" s="3">
        <v>46110.038377824079</v>
      </c>
      <c r="B28" s="4" t="s">
        <v>186</v>
      </c>
      <c r="C28" s="4" t="s">
        <v>84</v>
      </c>
      <c r="D28" s="4" t="s">
        <v>46</v>
      </c>
      <c r="E28" s="4" t="s">
        <v>31</v>
      </c>
      <c r="F28" s="4" t="s">
        <v>71</v>
      </c>
      <c r="G28" s="4" t="s">
        <v>120</v>
      </c>
      <c r="H28" s="4" t="s">
        <v>34</v>
      </c>
      <c r="I28" s="4" t="s">
        <v>34</v>
      </c>
      <c r="J28" s="4" t="s">
        <v>36</v>
      </c>
      <c r="K28" s="4" t="s">
        <v>41</v>
      </c>
      <c r="L28" s="4" t="s">
        <v>187</v>
      </c>
      <c r="M28" s="4" t="s">
        <v>39</v>
      </c>
      <c r="N28" s="4" t="s">
        <v>188</v>
      </c>
      <c r="O28" s="4">
        <v>9</v>
      </c>
      <c r="P28" s="4" t="s">
        <v>41</v>
      </c>
      <c r="Q28" s="4" t="s">
        <v>34</v>
      </c>
      <c r="R28" s="4" t="s">
        <v>34</v>
      </c>
      <c r="S28" s="4" t="s">
        <v>42</v>
      </c>
      <c r="T28" s="4" t="s">
        <v>42</v>
      </c>
      <c r="U28" s="4" t="s">
        <v>34</v>
      </c>
      <c r="V28" s="4" t="s">
        <v>34</v>
      </c>
      <c r="W28" s="4" t="s">
        <v>34</v>
      </c>
      <c r="X28" s="4"/>
      <c r="Y28" s="4" t="s">
        <v>43</v>
      </c>
      <c r="Z28" s="4" t="s">
        <v>75</v>
      </c>
      <c r="AA28" s="4" t="s">
        <v>189</v>
      </c>
      <c r="AB28" s="4">
        <v>1</v>
      </c>
    </row>
    <row r="29" spans="1:28" ht="22.5" customHeight="1" x14ac:dyDescent="0.25">
      <c r="A29" s="3">
        <v>46110.041994282408</v>
      </c>
      <c r="B29" s="4" t="s">
        <v>190</v>
      </c>
      <c r="C29" s="4" t="s">
        <v>29</v>
      </c>
      <c r="D29" s="4" t="s">
        <v>46</v>
      </c>
      <c r="E29" s="4" t="s">
        <v>31</v>
      </c>
      <c r="F29" s="4" t="s">
        <v>191</v>
      </c>
      <c r="G29" s="4" t="s">
        <v>114</v>
      </c>
      <c r="H29" s="4" t="s">
        <v>34</v>
      </c>
      <c r="I29" s="4" t="s">
        <v>34</v>
      </c>
      <c r="J29" s="4" t="s">
        <v>60</v>
      </c>
      <c r="K29" s="4" t="s">
        <v>34</v>
      </c>
      <c r="L29" s="4" t="s">
        <v>192</v>
      </c>
      <c r="M29" s="4" t="s">
        <v>39</v>
      </c>
      <c r="N29" s="4" t="s">
        <v>193</v>
      </c>
      <c r="O29" s="4">
        <v>4</v>
      </c>
      <c r="P29" s="4" t="s">
        <v>55</v>
      </c>
      <c r="Q29" s="4" t="s">
        <v>34</v>
      </c>
      <c r="R29" s="4" t="s">
        <v>34</v>
      </c>
      <c r="S29" s="4" t="s">
        <v>34</v>
      </c>
      <c r="T29" s="4" t="s">
        <v>34</v>
      </c>
      <c r="U29" s="4" t="s">
        <v>34</v>
      </c>
      <c r="V29" s="4" t="s">
        <v>34</v>
      </c>
      <c r="W29" s="4" t="s">
        <v>34</v>
      </c>
      <c r="X29" s="4" t="s">
        <v>34</v>
      </c>
      <c r="Y29" s="4" t="s">
        <v>43</v>
      </c>
      <c r="Z29" s="4" t="s">
        <v>34</v>
      </c>
      <c r="AA29" s="4" t="s">
        <v>194</v>
      </c>
      <c r="AB29" s="4">
        <v>3</v>
      </c>
    </row>
    <row r="30" spans="1:28" ht="22.5" customHeight="1" x14ac:dyDescent="0.25">
      <c r="A30" s="3">
        <v>46110.125041099542</v>
      </c>
      <c r="B30" s="4" t="s">
        <v>195</v>
      </c>
      <c r="C30" s="4" t="s">
        <v>84</v>
      </c>
      <c r="D30" s="4" t="s">
        <v>46</v>
      </c>
      <c r="E30" s="4" t="s">
        <v>196</v>
      </c>
      <c r="F30" s="4" t="s">
        <v>41</v>
      </c>
      <c r="G30" s="4" t="s">
        <v>71</v>
      </c>
      <c r="H30" s="4" t="s">
        <v>41</v>
      </c>
      <c r="I30" s="4" t="s">
        <v>71</v>
      </c>
      <c r="J30" s="4" t="s">
        <v>197</v>
      </c>
      <c r="K30" s="4" t="s">
        <v>41</v>
      </c>
      <c r="L30" s="4" t="s">
        <v>160</v>
      </c>
      <c r="M30" s="4" t="s">
        <v>39</v>
      </c>
      <c r="N30" s="4" t="s">
        <v>160</v>
      </c>
      <c r="O30" s="4">
        <v>1</v>
      </c>
      <c r="P30" s="4" t="s">
        <v>41</v>
      </c>
      <c r="Q30" s="4" t="s">
        <v>42</v>
      </c>
      <c r="R30" s="4" t="s">
        <v>42</v>
      </c>
      <c r="S30" s="4" t="s">
        <v>34</v>
      </c>
      <c r="T30" s="4" t="s">
        <v>42</v>
      </c>
      <c r="U30" s="4" t="s">
        <v>42</v>
      </c>
      <c r="V30" s="4" t="s">
        <v>42</v>
      </c>
      <c r="W30" s="4" t="s">
        <v>42</v>
      </c>
      <c r="X30" s="4" t="s">
        <v>42</v>
      </c>
      <c r="Y30" s="4" t="s">
        <v>39</v>
      </c>
      <c r="Z30" s="4" t="s">
        <v>71</v>
      </c>
      <c r="AA30" s="4" t="s">
        <v>198</v>
      </c>
      <c r="AB30" s="4">
        <v>1</v>
      </c>
    </row>
    <row r="31" spans="1:28" ht="22.5" customHeight="1" x14ac:dyDescent="0.25">
      <c r="A31" s="3">
        <v>46110.155313356481</v>
      </c>
      <c r="B31" s="4" t="s">
        <v>199</v>
      </c>
      <c r="C31" s="4" t="s">
        <v>29</v>
      </c>
      <c r="D31" s="4" t="s">
        <v>46</v>
      </c>
      <c r="E31" s="4" t="s">
        <v>31</v>
      </c>
      <c r="F31" s="4" t="s">
        <v>71</v>
      </c>
      <c r="G31" s="4" t="s">
        <v>66</v>
      </c>
      <c r="H31" s="4" t="s">
        <v>37</v>
      </c>
      <c r="I31" s="4" t="s">
        <v>37</v>
      </c>
      <c r="J31" s="4" t="s">
        <v>72</v>
      </c>
      <c r="K31" s="4" t="s">
        <v>41</v>
      </c>
      <c r="L31" s="4" t="s">
        <v>200</v>
      </c>
      <c r="M31" s="4" t="s">
        <v>39</v>
      </c>
      <c r="N31" s="4" t="s">
        <v>201</v>
      </c>
      <c r="O31" s="4">
        <v>8</v>
      </c>
      <c r="P31" s="4" t="s">
        <v>41</v>
      </c>
      <c r="Q31" s="4" t="s">
        <v>37</v>
      </c>
      <c r="R31" s="4" t="s">
        <v>37</v>
      </c>
      <c r="S31" s="4" t="s">
        <v>42</v>
      </c>
      <c r="T31" s="4" t="s">
        <v>42</v>
      </c>
      <c r="U31" s="4" t="s">
        <v>37</v>
      </c>
      <c r="V31" s="4" t="s">
        <v>37</v>
      </c>
      <c r="W31" s="4" t="s">
        <v>37</v>
      </c>
      <c r="X31" s="4" t="s">
        <v>42</v>
      </c>
      <c r="Y31" s="4" t="s">
        <v>89</v>
      </c>
      <c r="Z31" s="4" t="s">
        <v>34</v>
      </c>
      <c r="AA31" s="4" t="s">
        <v>202</v>
      </c>
      <c r="AB31" s="4">
        <v>7</v>
      </c>
    </row>
    <row r="32" spans="1:28" ht="22.5" customHeight="1" x14ac:dyDescent="0.25">
      <c r="A32" s="3">
        <v>46110.274591550929</v>
      </c>
      <c r="B32" s="4" t="s">
        <v>203</v>
      </c>
      <c r="C32" s="4" t="s">
        <v>84</v>
      </c>
      <c r="D32" s="4" t="s">
        <v>204</v>
      </c>
      <c r="E32" s="4" t="s">
        <v>31</v>
      </c>
      <c r="F32" s="4" t="s">
        <v>71</v>
      </c>
      <c r="G32" s="4" t="s">
        <v>71</v>
      </c>
      <c r="H32" s="4" t="s">
        <v>41</v>
      </c>
      <c r="I32" s="4" t="s">
        <v>71</v>
      </c>
      <c r="J32" s="4" t="s">
        <v>60</v>
      </c>
      <c r="K32" s="4" t="s">
        <v>41</v>
      </c>
      <c r="L32" s="4" t="s">
        <v>205</v>
      </c>
      <c r="M32" s="4" t="s">
        <v>39</v>
      </c>
      <c r="N32" s="4" t="s">
        <v>206</v>
      </c>
      <c r="O32" s="4">
        <v>9</v>
      </c>
      <c r="P32" s="4" t="s">
        <v>207</v>
      </c>
      <c r="Q32" s="4" t="s">
        <v>42</v>
      </c>
      <c r="R32" s="4" t="s">
        <v>42</v>
      </c>
      <c r="S32" s="4" t="s">
        <v>42</v>
      </c>
      <c r="T32" s="4" t="s">
        <v>42</v>
      </c>
      <c r="U32" s="4" t="s">
        <v>37</v>
      </c>
      <c r="V32" s="4" t="s">
        <v>42</v>
      </c>
      <c r="W32" s="4" t="s">
        <v>42</v>
      </c>
      <c r="X32" s="4" t="s">
        <v>42</v>
      </c>
      <c r="Y32" s="4" t="s">
        <v>43</v>
      </c>
      <c r="Z32" s="4" t="s">
        <v>75</v>
      </c>
      <c r="AA32" s="4" t="s">
        <v>208</v>
      </c>
      <c r="AB32" s="4">
        <v>5</v>
      </c>
    </row>
    <row r="33" spans="1:28" ht="22.5" customHeight="1" x14ac:dyDescent="0.25">
      <c r="A33" s="3">
        <v>46110.283992418983</v>
      </c>
      <c r="B33" s="4" t="s">
        <v>209</v>
      </c>
      <c r="C33" s="4" t="s">
        <v>84</v>
      </c>
      <c r="D33" s="4" t="s">
        <v>46</v>
      </c>
      <c r="E33" s="4" t="s">
        <v>31</v>
      </c>
      <c r="F33" s="4" t="s">
        <v>210</v>
      </c>
      <c r="G33" s="4" t="s">
        <v>37</v>
      </c>
      <c r="H33" s="4" t="s">
        <v>37</v>
      </c>
      <c r="I33" s="4" t="s">
        <v>37</v>
      </c>
      <c r="J33" s="4" t="s">
        <v>60</v>
      </c>
      <c r="K33" s="4" t="s">
        <v>41</v>
      </c>
      <c r="L33" s="4" t="s">
        <v>211</v>
      </c>
      <c r="M33" s="4" t="s">
        <v>39</v>
      </c>
      <c r="N33" s="4" t="s">
        <v>212</v>
      </c>
      <c r="O33" s="4">
        <v>8</v>
      </c>
      <c r="P33" s="4" t="s">
        <v>213</v>
      </c>
      <c r="Q33" s="4" t="s">
        <v>37</v>
      </c>
      <c r="R33" s="4" t="s">
        <v>37</v>
      </c>
      <c r="S33" s="4" t="s">
        <v>42</v>
      </c>
      <c r="T33" s="4" t="s">
        <v>37</v>
      </c>
      <c r="U33" s="4" t="s">
        <v>37</v>
      </c>
      <c r="V33" s="4" t="s">
        <v>37</v>
      </c>
      <c r="W33" s="4" t="s">
        <v>37</v>
      </c>
      <c r="X33" s="4" t="s">
        <v>37</v>
      </c>
      <c r="Y33" s="4" t="s">
        <v>43</v>
      </c>
      <c r="Z33" s="4" t="s">
        <v>75</v>
      </c>
      <c r="AA33" s="4" t="s">
        <v>214</v>
      </c>
      <c r="AB33" s="4">
        <v>7</v>
      </c>
    </row>
    <row r="34" spans="1:28" ht="22.5" customHeight="1" x14ac:dyDescent="0.25">
      <c r="A34" s="3">
        <v>46110.314717337962</v>
      </c>
      <c r="B34" s="4" t="s">
        <v>215</v>
      </c>
      <c r="C34" s="4" t="s">
        <v>29</v>
      </c>
      <c r="D34" s="4" t="s">
        <v>46</v>
      </c>
      <c r="E34" s="4" t="s">
        <v>31</v>
      </c>
      <c r="F34" s="4" t="s">
        <v>58</v>
      </c>
      <c r="G34" s="4" t="s">
        <v>142</v>
      </c>
      <c r="H34" s="4" t="s">
        <v>37</v>
      </c>
      <c r="I34" s="4" t="s">
        <v>37</v>
      </c>
      <c r="J34" s="4" t="s">
        <v>216</v>
      </c>
      <c r="K34" s="4" t="s">
        <v>37</v>
      </c>
      <c r="L34" s="4" t="s">
        <v>217</v>
      </c>
      <c r="M34" s="4" t="s">
        <v>39</v>
      </c>
      <c r="N34" s="4" t="s">
        <v>218</v>
      </c>
      <c r="O34" s="4">
        <v>1</v>
      </c>
      <c r="P34" s="4" t="s">
        <v>34</v>
      </c>
      <c r="Q34" s="4" t="s">
        <v>37</v>
      </c>
      <c r="R34" s="4" t="s">
        <v>34</v>
      </c>
      <c r="S34" s="4" t="s">
        <v>34</v>
      </c>
      <c r="T34" s="4" t="s">
        <v>37</v>
      </c>
      <c r="U34" s="4" t="s">
        <v>37</v>
      </c>
      <c r="V34" s="4" t="s">
        <v>42</v>
      </c>
      <c r="W34" s="4" t="s">
        <v>37</v>
      </c>
      <c r="X34" s="4" t="s">
        <v>42</v>
      </c>
      <c r="Y34" s="4" t="s">
        <v>43</v>
      </c>
      <c r="Z34" s="4" t="s">
        <v>75</v>
      </c>
      <c r="AA34" s="4" t="s">
        <v>219</v>
      </c>
      <c r="AB34" s="4">
        <v>4</v>
      </c>
    </row>
    <row r="35" spans="1:28" ht="22.5" customHeight="1" x14ac:dyDescent="0.25">
      <c r="A35" s="3">
        <v>46110.429217870369</v>
      </c>
      <c r="B35" s="4" t="s">
        <v>220</v>
      </c>
      <c r="C35" s="4" t="s">
        <v>84</v>
      </c>
      <c r="D35" s="4" t="s">
        <v>126</v>
      </c>
      <c r="E35" s="4" t="s">
        <v>31</v>
      </c>
      <c r="F35" s="4" t="s">
        <v>221</v>
      </c>
      <c r="G35" s="4" t="s">
        <v>71</v>
      </c>
      <c r="H35" s="4" t="s">
        <v>41</v>
      </c>
      <c r="I35" s="4" t="s">
        <v>71</v>
      </c>
      <c r="J35" s="4" t="s">
        <v>197</v>
      </c>
      <c r="K35" s="4" t="s">
        <v>34</v>
      </c>
      <c r="L35" s="4" t="s">
        <v>222</v>
      </c>
      <c r="M35" s="4" t="s">
        <v>39</v>
      </c>
      <c r="N35" s="4" t="s">
        <v>223</v>
      </c>
      <c r="O35" s="4">
        <v>10</v>
      </c>
      <c r="P35" s="4" t="s">
        <v>34</v>
      </c>
      <c r="Q35" s="4" t="s">
        <v>42</v>
      </c>
      <c r="R35" s="4" t="s">
        <v>42</v>
      </c>
      <c r="S35" s="4" t="s">
        <v>42</v>
      </c>
      <c r="T35" s="4" t="s">
        <v>42</v>
      </c>
      <c r="U35" s="4" t="s">
        <v>42</v>
      </c>
      <c r="V35" s="4" t="s">
        <v>42</v>
      </c>
      <c r="W35" s="4" t="s">
        <v>42</v>
      </c>
      <c r="X35" s="4" t="s">
        <v>42</v>
      </c>
      <c r="Y35" s="4" t="s">
        <v>39</v>
      </c>
      <c r="Z35" s="4" t="s">
        <v>34</v>
      </c>
      <c r="AA35" s="4" t="s">
        <v>224</v>
      </c>
      <c r="AB35" s="4">
        <v>10</v>
      </c>
    </row>
    <row r="36" spans="1:28" ht="22.5" customHeight="1" x14ac:dyDescent="0.25">
      <c r="A36" s="3">
        <v>46110.446769074071</v>
      </c>
      <c r="B36" s="4" t="s">
        <v>225</v>
      </c>
      <c r="C36" s="4" t="s">
        <v>29</v>
      </c>
      <c r="D36" s="4" t="s">
        <v>46</v>
      </c>
      <c r="E36" s="4" t="s">
        <v>226</v>
      </c>
      <c r="F36" s="4" t="s">
        <v>58</v>
      </c>
      <c r="G36" s="4" t="s">
        <v>127</v>
      </c>
      <c r="H36" s="4" t="s">
        <v>78</v>
      </c>
      <c r="I36" s="4" t="s">
        <v>34</v>
      </c>
      <c r="J36" s="4" t="s">
        <v>36</v>
      </c>
      <c r="K36" s="4" t="s">
        <v>41</v>
      </c>
      <c r="L36" s="4" t="s">
        <v>227</v>
      </c>
      <c r="M36" s="4" t="s">
        <v>39</v>
      </c>
      <c r="N36" s="4" t="s">
        <v>228</v>
      </c>
      <c r="O36" s="4">
        <v>7</v>
      </c>
      <c r="P36" s="4" t="s">
        <v>41</v>
      </c>
      <c r="Q36" s="4" t="s">
        <v>34</v>
      </c>
      <c r="R36" s="4" t="s">
        <v>34</v>
      </c>
      <c r="S36" s="4" t="s">
        <v>34</v>
      </c>
      <c r="T36" s="4" t="s">
        <v>42</v>
      </c>
      <c r="U36" s="4" t="s">
        <v>34</v>
      </c>
      <c r="V36" s="4" t="s">
        <v>42</v>
      </c>
      <c r="W36" s="4" t="s">
        <v>42</v>
      </c>
      <c r="X36" s="4" t="s">
        <v>55</v>
      </c>
      <c r="Y36" s="4" t="s">
        <v>89</v>
      </c>
      <c r="Z36" s="4" t="s">
        <v>34</v>
      </c>
      <c r="AA36" s="4" t="s">
        <v>229</v>
      </c>
      <c r="AB36" s="4">
        <v>7</v>
      </c>
    </row>
    <row r="37" spans="1:28" ht="22.5" customHeight="1" x14ac:dyDescent="0.25">
      <c r="A37" s="3">
        <v>46110.47530096065</v>
      </c>
      <c r="B37" s="4" t="s">
        <v>230</v>
      </c>
      <c r="C37" s="4" t="s">
        <v>84</v>
      </c>
      <c r="D37" s="4" t="s">
        <v>46</v>
      </c>
      <c r="E37" s="4" t="s">
        <v>31</v>
      </c>
      <c r="F37" s="4" t="s">
        <v>154</v>
      </c>
      <c r="G37" s="4" t="s">
        <v>105</v>
      </c>
      <c r="H37" s="4" t="s">
        <v>86</v>
      </c>
      <c r="I37" s="4" t="s">
        <v>71</v>
      </c>
      <c r="J37" s="4" t="s">
        <v>47</v>
      </c>
      <c r="K37" s="4" t="s">
        <v>41</v>
      </c>
      <c r="L37" s="4" t="s">
        <v>231</v>
      </c>
      <c r="M37" s="4" t="s">
        <v>39</v>
      </c>
      <c r="N37" s="4" t="s">
        <v>68</v>
      </c>
      <c r="O37" s="4">
        <v>5</v>
      </c>
      <c r="P37" s="4" t="s">
        <v>55</v>
      </c>
      <c r="Q37" s="4" t="s">
        <v>42</v>
      </c>
      <c r="R37" s="4" t="s">
        <v>42</v>
      </c>
      <c r="S37" s="4" t="s">
        <v>42</v>
      </c>
      <c r="T37" s="4" t="s">
        <v>42</v>
      </c>
      <c r="U37" s="4" t="s">
        <v>42</v>
      </c>
      <c r="V37" s="4" t="s">
        <v>42</v>
      </c>
      <c r="W37" s="4" t="s">
        <v>42</v>
      </c>
      <c r="X37" s="4" t="s">
        <v>55</v>
      </c>
      <c r="Y37" s="4" t="s">
        <v>89</v>
      </c>
      <c r="Z37" s="4" t="s">
        <v>75</v>
      </c>
      <c r="AA37" s="4" t="s">
        <v>232</v>
      </c>
      <c r="AB37" s="4">
        <v>3</v>
      </c>
    </row>
    <row r="38" spans="1:28" ht="22.5" customHeight="1" x14ac:dyDescent="0.25">
      <c r="A38" s="3">
        <v>46110.483751203705</v>
      </c>
      <c r="B38" s="4" t="s">
        <v>233</v>
      </c>
      <c r="C38" s="4" t="s">
        <v>29</v>
      </c>
      <c r="D38" s="4" t="s">
        <v>46</v>
      </c>
      <c r="E38" s="4" t="s">
        <v>234</v>
      </c>
      <c r="F38" s="4" t="s">
        <v>41</v>
      </c>
      <c r="G38" s="4" t="s">
        <v>71</v>
      </c>
      <c r="H38" s="4" t="s">
        <v>41</v>
      </c>
      <c r="I38" s="4" t="s">
        <v>71</v>
      </c>
      <c r="J38" s="4" t="s">
        <v>60</v>
      </c>
      <c r="K38" s="4" t="s">
        <v>41</v>
      </c>
      <c r="L38" s="4" t="s">
        <v>235</v>
      </c>
      <c r="M38" s="4" t="s">
        <v>43</v>
      </c>
      <c r="N38" s="4" t="s">
        <v>236</v>
      </c>
      <c r="O38" s="4">
        <v>1</v>
      </c>
      <c r="P38" s="4" t="s">
        <v>41</v>
      </c>
      <c r="Q38" s="4" t="s">
        <v>42</v>
      </c>
      <c r="R38" s="4" t="s">
        <v>37</v>
      </c>
      <c r="S38" s="4" t="s">
        <v>42</v>
      </c>
      <c r="T38" s="4" t="s">
        <v>42</v>
      </c>
      <c r="U38" s="4" t="s">
        <v>42</v>
      </c>
      <c r="V38" s="4" t="s">
        <v>42</v>
      </c>
      <c r="W38" s="4" t="s">
        <v>42</v>
      </c>
      <c r="X38" s="4" t="s">
        <v>42</v>
      </c>
      <c r="Y38" s="4" t="s">
        <v>39</v>
      </c>
      <c r="Z38" s="4" t="s">
        <v>34</v>
      </c>
      <c r="AA38" s="4" t="s">
        <v>237</v>
      </c>
      <c r="AB38" s="4">
        <v>1</v>
      </c>
    </row>
    <row r="39" spans="1:28" ht="22.5" customHeight="1" x14ac:dyDescent="0.25">
      <c r="A39" s="3">
        <v>46110.534561469904</v>
      </c>
      <c r="B39" s="4" t="s">
        <v>238</v>
      </c>
      <c r="C39" s="4" t="s">
        <v>84</v>
      </c>
      <c r="D39" s="4" t="s">
        <v>204</v>
      </c>
      <c r="E39" s="4" t="s">
        <v>31</v>
      </c>
      <c r="F39" s="4" t="s">
        <v>160</v>
      </c>
      <c r="G39" s="4" t="s">
        <v>71</v>
      </c>
      <c r="H39" s="4" t="s">
        <v>78</v>
      </c>
      <c r="I39" s="4" t="s">
        <v>71</v>
      </c>
      <c r="J39" s="4" t="s">
        <v>36</v>
      </c>
      <c r="K39" s="4" t="s">
        <v>34</v>
      </c>
      <c r="L39" s="4" t="s">
        <v>239</v>
      </c>
      <c r="M39" s="4" t="s">
        <v>39</v>
      </c>
      <c r="N39" s="4" t="s">
        <v>240</v>
      </c>
      <c r="O39" s="4">
        <v>5</v>
      </c>
      <c r="P39" s="4" t="s">
        <v>34</v>
      </c>
      <c r="Q39" s="4" t="s">
        <v>42</v>
      </c>
      <c r="R39" s="4" t="s">
        <v>37</v>
      </c>
      <c r="S39" s="4" t="s">
        <v>42</v>
      </c>
      <c r="T39" s="4" t="s">
        <v>42</v>
      </c>
      <c r="U39" s="4" t="s">
        <v>42</v>
      </c>
      <c r="V39" s="4" t="s">
        <v>42</v>
      </c>
      <c r="W39" s="4" t="s">
        <v>42</v>
      </c>
      <c r="X39" s="4" t="s">
        <v>42</v>
      </c>
      <c r="Y39" s="4" t="s">
        <v>43</v>
      </c>
      <c r="Z39" s="4" t="s">
        <v>75</v>
      </c>
      <c r="AA39" s="4" t="s">
        <v>241</v>
      </c>
      <c r="AB39" s="4">
        <v>1</v>
      </c>
    </row>
    <row r="40" spans="1:28" ht="22.5" customHeight="1" x14ac:dyDescent="0.25">
      <c r="A40" s="3">
        <v>46110.605601296294</v>
      </c>
      <c r="B40" s="4" t="s">
        <v>242</v>
      </c>
      <c r="C40" s="4" t="s">
        <v>84</v>
      </c>
      <c r="D40" s="4" t="s">
        <v>46</v>
      </c>
      <c r="E40" s="4" t="s">
        <v>31</v>
      </c>
      <c r="F40" s="4" t="s">
        <v>243</v>
      </c>
      <c r="G40" s="4" t="s">
        <v>66</v>
      </c>
      <c r="H40" s="4" t="s">
        <v>86</v>
      </c>
      <c r="I40" s="4" t="s">
        <v>55</v>
      </c>
      <c r="J40" s="4" t="s">
        <v>60</v>
      </c>
      <c r="K40" s="4" t="s">
        <v>61</v>
      </c>
      <c r="L40" s="4" t="s">
        <v>244</v>
      </c>
      <c r="M40" s="4" t="s">
        <v>39</v>
      </c>
      <c r="N40" s="4" t="s">
        <v>132</v>
      </c>
      <c r="O40" s="4">
        <v>9</v>
      </c>
      <c r="P40" s="4" t="s">
        <v>41</v>
      </c>
      <c r="Q40" s="4" t="s">
        <v>55</v>
      </c>
      <c r="R40" s="4" t="s">
        <v>55</v>
      </c>
      <c r="S40" s="4" t="s">
        <v>42</v>
      </c>
      <c r="T40" s="4" t="s">
        <v>55</v>
      </c>
      <c r="U40" s="4" t="s">
        <v>55</v>
      </c>
      <c r="V40" s="4" t="s">
        <v>42</v>
      </c>
      <c r="W40" s="4" t="s">
        <v>55</v>
      </c>
      <c r="X40" s="4" t="s">
        <v>55</v>
      </c>
      <c r="Y40" s="4" t="s">
        <v>89</v>
      </c>
      <c r="Z40" s="4" t="s">
        <v>71</v>
      </c>
      <c r="AA40" s="4" t="s">
        <v>245</v>
      </c>
      <c r="AB40" s="4">
        <v>6</v>
      </c>
    </row>
    <row r="41" spans="1:28" ht="22.5" customHeight="1" x14ac:dyDescent="0.25">
      <c r="A41" s="3">
        <v>46110.643367013894</v>
      </c>
      <c r="B41" s="4" t="s">
        <v>246</v>
      </c>
      <c r="C41" s="4" t="s">
        <v>29</v>
      </c>
      <c r="D41" s="4" t="s">
        <v>46</v>
      </c>
      <c r="E41" s="4" t="s">
        <v>31</v>
      </c>
      <c r="F41" s="4" t="s">
        <v>247</v>
      </c>
      <c r="G41" s="4" t="s">
        <v>55</v>
      </c>
      <c r="H41" s="4" t="s">
        <v>55</v>
      </c>
      <c r="I41" s="4" t="s">
        <v>55</v>
      </c>
      <c r="J41" s="4" t="s">
        <v>60</v>
      </c>
      <c r="K41" s="4" t="s">
        <v>61</v>
      </c>
      <c r="L41" s="4" t="s">
        <v>248</v>
      </c>
      <c r="M41" s="4" t="s">
        <v>39</v>
      </c>
      <c r="N41" s="4" t="s">
        <v>249</v>
      </c>
      <c r="O41" s="4">
        <v>10</v>
      </c>
      <c r="P41" s="4" t="s">
        <v>41</v>
      </c>
      <c r="Q41" s="4" t="s">
        <v>55</v>
      </c>
      <c r="R41" s="4" t="s">
        <v>55</v>
      </c>
      <c r="S41" s="4" t="s">
        <v>42</v>
      </c>
      <c r="T41" s="4" t="s">
        <v>55</v>
      </c>
      <c r="U41" s="4" t="s">
        <v>34</v>
      </c>
      <c r="V41" s="4" t="s">
        <v>55</v>
      </c>
      <c r="W41" s="4" t="s">
        <v>55</v>
      </c>
      <c r="X41" s="4" t="s">
        <v>55</v>
      </c>
      <c r="Y41" s="4" t="s">
        <v>39</v>
      </c>
      <c r="Z41" s="4" t="s">
        <v>34</v>
      </c>
      <c r="AA41" s="4" t="s">
        <v>250</v>
      </c>
      <c r="AB41" s="4">
        <v>9</v>
      </c>
    </row>
    <row r="42" spans="1:28" ht="22.5" customHeight="1" x14ac:dyDescent="0.25">
      <c r="A42" s="3">
        <v>46110.814987951388</v>
      </c>
      <c r="B42" s="4" t="s">
        <v>251</v>
      </c>
      <c r="C42" s="4" t="s">
        <v>84</v>
      </c>
      <c r="D42" s="4" t="s">
        <v>46</v>
      </c>
      <c r="E42" s="4" t="s">
        <v>31</v>
      </c>
      <c r="F42" s="4" t="s">
        <v>191</v>
      </c>
      <c r="G42" s="4" t="s">
        <v>34</v>
      </c>
      <c r="H42" s="4" t="s">
        <v>34</v>
      </c>
      <c r="I42" s="4" t="s">
        <v>34</v>
      </c>
      <c r="J42" s="4" t="s">
        <v>197</v>
      </c>
      <c r="K42" s="4" t="s">
        <v>34</v>
      </c>
      <c r="L42" s="4" t="s">
        <v>252</v>
      </c>
      <c r="M42" s="4" t="s">
        <v>39</v>
      </c>
      <c r="N42" s="4" t="s">
        <v>253</v>
      </c>
      <c r="O42" s="4">
        <v>8</v>
      </c>
      <c r="P42" s="4" t="s">
        <v>41</v>
      </c>
      <c r="Q42" s="4" t="s">
        <v>34</v>
      </c>
      <c r="R42" s="4" t="s">
        <v>34</v>
      </c>
      <c r="S42" s="4" t="s">
        <v>42</v>
      </c>
      <c r="T42" s="4" t="s">
        <v>34</v>
      </c>
      <c r="U42" s="4" t="s">
        <v>42</v>
      </c>
      <c r="V42" s="4" t="s">
        <v>34</v>
      </c>
      <c r="W42" s="4" t="s">
        <v>34</v>
      </c>
      <c r="X42" s="4" t="s">
        <v>42</v>
      </c>
      <c r="Y42" s="4" t="s">
        <v>43</v>
      </c>
      <c r="Z42" s="4" t="s">
        <v>34</v>
      </c>
      <c r="AA42" s="4" t="s">
        <v>254</v>
      </c>
      <c r="AB42" s="4">
        <v>5</v>
      </c>
    </row>
    <row r="43" spans="1:28" ht="22.5" customHeight="1" x14ac:dyDescent="0.25">
      <c r="A43" s="3">
        <v>46110.997223831015</v>
      </c>
      <c r="B43" s="4" t="s">
        <v>255</v>
      </c>
      <c r="C43" s="4" t="s">
        <v>29</v>
      </c>
      <c r="D43" s="4" t="s">
        <v>46</v>
      </c>
      <c r="E43" s="4" t="s">
        <v>31</v>
      </c>
      <c r="F43" s="4" t="s">
        <v>154</v>
      </c>
      <c r="G43" s="4" t="s">
        <v>71</v>
      </c>
      <c r="H43" s="4" t="s">
        <v>41</v>
      </c>
      <c r="I43" s="4" t="s">
        <v>71</v>
      </c>
      <c r="J43" s="4" t="s">
        <v>60</v>
      </c>
      <c r="K43" s="4" t="s">
        <v>37</v>
      </c>
      <c r="L43" s="4" t="s">
        <v>256</v>
      </c>
      <c r="M43" s="4" t="s">
        <v>39</v>
      </c>
      <c r="N43" s="4" t="s">
        <v>257</v>
      </c>
      <c r="O43" s="4">
        <v>1</v>
      </c>
      <c r="P43" s="4" t="s">
        <v>34</v>
      </c>
      <c r="Q43" s="4" t="s">
        <v>42</v>
      </c>
      <c r="R43" s="4" t="s">
        <v>42</v>
      </c>
      <c r="S43" s="4" t="s">
        <v>42</v>
      </c>
      <c r="T43" s="4" t="s">
        <v>42</v>
      </c>
      <c r="U43" s="4" t="s">
        <v>42</v>
      </c>
      <c r="V43" s="4" t="s">
        <v>42</v>
      </c>
      <c r="W43" s="4" t="s">
        <v>42</v>
      </c>
      <c r="X43" s="4" t="s">
        <v>42</v>
      </c>
      <c r="Y43" s="4" t="s">
        <v>39</v>
      </c>
      <c r="Z43" s="4" t="s">
        <v>34</v>
      </c>
      <c r="AA43" s="4" t="s">
        <v>258</v>
      </c>
      <c r="AB43" s="4">
        <v>3</v>
      </c>
    </row>
    <row r="44" spans="1:28" ht="22.5" customHeight="1" x14ac:dyDescent="0.25">
      <c r="A44" s="3">
        <v>46110.998554999998</v>
      </c>
      <c r="B44" s="4" t="s">
        <v>259</v>
      </c>
      <c r="C44" s="4" t="s">
        <v>29</v>
      </c>
      <c r="D44" s="4" t="s">
        <v>46</v>
      </c>
      <c r="E44" s="4" t="s">
        <v>31</v>
      </c>
      <c r="F44" s="4" t="s">
        <v>71</v>
      </c>
      <c r="G44" s="4" t="s">
        <v>71</v>
      </c>
      <c r="H44" s="4" t="s">
        <v>148</v>
      </c>
      <c r="I44" s="4" t="s">
        <v>71</v>
      </c>
      <c r="J44" s="4" t="s">
        <v>60</v>
      </c>
      <c r="K44" s="4" t="s">
        <v>34</v>
      </c>
      <c r="L44" s="4" t="s">
        <v>260</v>
      </c>
      <c r="M44" s="4" t="s">
        <v>39</v>
      </c>
      <c r="N44" s="4" t="s">
        <v>261</v>
      </c>
      <c r="O44" s="4">
        <v>10</v>
      </c>
      <c r="P44" s="4" t="s">
        <v>34</v>
      </c>
      <c r="Q44" s="4" t="s">
        <v>42</v>
      </c>
      <c r="R44" s="4" t="s">
        <v>42</v>
      </c>
      <c r="S44" s="4" t="s">
        <v>34</v>
      </c>
      <c r="T44" s="4" t="s">
        <v>42</v>
      </c>
      <c r="U44" s="4" t="s">
        <v>42</v>
      </c>
      <c r="V44" s="4" t="s">
        <v>42</v>
      </c>
      <c r="W44" s="4" t="s">
        <v>42</v>
      </c>
      <c r="X44" s="4" t="s">
        <v>42</v>
      </c>
      <c r="Y44" s="4" t="s">
        <v>39</v>
      </c>
      <c r="Z44" s="4" t="s">
        <v>71</v>
      </c>
      <c r="AA44" s="4" t="s">
        <v>262</v>
      </c>
      <c r="AB44" s="4">
        <v>10</v>
      </c>
    </row>
    <row r="45" spans="1:28" ht="22.5" customHeight="1" x14ac:dyDescent="0.25">
      <c r="A45" s="3">
        <v>46111.222925057868</v>
      </c>
      <c r="B45" s="4" t="s">
        <v>263</v>
      </c>
      <c r="C45" s="4" t="s">
        <v>29</v>
      </c>
      <c r="D45" s="4" t="s">
        <v>204</v>
      </c>
      <c r="E45" s="4" t="s">
        <v>31</v>
      </c>
      <c r="F45" s="4" t="s">
        <v>41</v>
      </c>
      <c r="G45" s="4" t="s">
        <v>71</v>
      </c>
      <c r="H45" s="4" t="s">
        <v>41</v>
      </c>
      <c r="I45" s="4" t="s">
        <v>71</v>
      </c>
      <c r="J45" s="4" t="s">
        <v>60</v>
      </c>
      <c r="K45" s="4" t="s">
        <v>34</v>
      </c>
      <c r="L45" s="4" t="s">
        <v>264</v>
      </c>
      <c r="M45" s="4" t="s">
        <v>39</v>
      </c>
      <c r="N45" s="4" t="s">
        <v>265</v>
      </c>
      <c r="O45" s="4">
        <v>9</v>
      </c>
      <c r="P45" s="4" t="s">
        <v>34</v>
      </c>
      <c r="Q45" s="4" t="s">
        <v>42</v>
      </c>
      <c r="R45" s="4" t="s">
        <v>34</v>
      </c>
      <c r="S45" s="4" t="s">
        <v>42</v>
      </c>
      <c r="T45" s="4" t="s">
        <v>42</v>
      </c>
      <c r="U45" s="4" t="s">
        <v>42</v>
      </c>
      <c r="V45" s="4" t="s">
        <v>34</v>
      </c>
      <c r="W45" s="4" t="s">
        <v>42</v>
      </c>
      <c r="X45" s="4" t="s">
        <v>34</v>
      </c>
      <c r="Y45" s="4" t="s">
        <v>43</v>
      </c>
      <c r="Z45" s="4" t="s">
        <v>75</v>
      </c>
      <c r="AA45" s="4" t="s">
        <v>266</v>
      </c>
      <c r="AB45" s="4">
        <v>5</v>
      </c>
    </row>
    <row r="46" spans="1:28" ht="22.5" customHeight="1" x14ac:dyDescent="0.25">
      <c r="A46" s="3">
        <v>46114.946230243055</v>
      </c>
      <c r="B46" s="4" t="s">
        <v>267</v>
      </c>
      <c r="C46" s="4" t="s">
        <v>84</v>
      </c>
      <c r="D46" s="4" t="s">
        <v>126</v>
      </c>
      <c r="E46" s="4" t="s">
        <v>31</v>
      </c>
      <c r="F46" s="4" t="s">
        <v>268</v>
      </c>
      <c r="G46" s="4" t="s">
        <v>127</v>
      </c>
      <c r="H46" s="4" t="s">
        <v>78</v>
      </c>
      <c r="I46" s="4" t="s">
        <v>34</v>
      </c>
      <c r="J46" s="4" t="s">
        <v>60</v>
      </c>
      <c r="K46" s="4" t="s">
        <v>41</v>
      </c>
      <c r="L46" s="4" t="s">
        <v>269</v>
      </c>
      <c r="M46" s="4" t="s">
        <v>39</v>
      </c>
      <c r="N46" s="4" t="s">
        <v>270</v>
      </c>
      <c r="O46" s="4">
        <v>8</v>
      </c>
      <c r="P46" s="4" t="s">
        <v>41</v>
      </c>
      <c r="Q46" s="4" t="s">
        <v>34</v>
      </c>
      <c r="R46" s="4" t="s">
        <v>34</v>
      </c>
      <c r="S46" s="4" t="s">
        <v>34</v>
      </c>
      <c r="T46" s="4" t="s">
        <v>34</v>
      </c>
      <c r="U46" s="4" t="s">
        <v>34</v>
      </c>
      <c r="V46" s="4" t="s">
        <v>34</v>
      </c>
      <c r="W46" s="4" t="s">
        <v>34</v>
      </c>
      <c r="X46" s="4"/>
      <c r="Y46" s="4" t="s">
        <v>89</v>
      </c>
      <c r="Z46" s="4" t="s">
        <v>75</v>
      </c>
      <c r="AA46" s="4" t="s">
        <v>271</v>
      </c>
      <c r="AB46" s="4">
        <v>6</v>
      </c>
    </row>
    <row r="47" spans="1:28" ht="22.5" customHeight="1" x14ac:dyDescent="0.25">
      <c r="A47" s="3">
        <v>46115.893443599532</v>
      </c>
      <c r="B47" s="4" t="s">
        <v>259</v>
      </c>
      <c r="C47" s="4" t="s">
        <v>29</v>
      </c>
      <c r="D47" s="4" t="s">
        <v>46</v>
      </c>
      <c r="E47" s="4" t="s">
        <v>31</v>
      </c>
      <c r="F47" s="4" t="s">
        <v>71</v>
      </c>
      <c r="G47" s="4" t="s">
        <v>127</v>
      </c>
      <c r="H47" s="4" t="s">
        <v>78</v>
      </c>
      <c r="I47" s="4" t="s">
        <v>71</v>
      </c>
      <c r="J47" s="4" t="s">
        <v>60</v>
      </c>
      <c r="K47" s="4" t="s">
        <v>34</v>
      </c>
      <c r="L47" s="4" t="s">
        <v>272</v>
      </c>
      <c r="M47" s="4" t="s">
        <v>39</v>
      </c>
      <c r="N47" s="4" t="s">
        <v>273</v>
      </c>
      <c r="O47" s="4">
        <v>10</v>
      </c>
      <c r="P47" s="4" t="s">
        <v>274</v>
      </c>
      <c r="Q47" s="4" t="s">
        <v>42</v>
      </c>
      <c r="R47" s="4" t="s">
        <v>34</v>
      </c>
      <c r="S47" s="4" t="s">
        <v>34</v>
      </c>
      <c r="T47" s="4" t="s">
        <v>34</v>
      </c>
      <c r="U47" s="4" t="s">
        <v>34</v>
      </c>
      <c r="V47" s="4" t="s">
        <v>42</v>
      </c>
      <c r="W47" s="4" t="s">
        <v>34</v>
      </c>
      <c r="X47" s="4" t="s">
        <v>34</v>
      </c>
      <c r="Y47" s="4" t="s">
        <v>89</v>
      </c>
      <c r="Z47" s="4" t="s">
        <v>75</v>
      </c>
      <c r="AA47" s="4" t="s">
        <v>275</v>
      </c>
      <c r="AB47" s="4">
        <v>1</v>
      </c>
    </row>
    <row r="48" spans="1:28" ht="22.5" customHeight="1" x14ac:dyDescent="0.25">
      <c r="A48" s="3">
        <v>46119.974406435183</v>
      </c>
      <c r="B48" s="4" t="s">
        <v>276</v>
      </c>
      <c r="C48" s="4" t="s">
        <v>29</v>
      </c>
      <c r="D48" s="4" t="s">
        <v>46</v>
      </c>
      <c r="E48" s="4" t="s">
        <v>31</v>
      </c>
      <c r="F48" s="4" t="s">
        <v>34</v>
      </c>
      <c r="G48" s="4" t="s">
        <v>127</v>
      </c>
      <c r="H48" s="4" t="s">
        <v>78</v>
      </c>
      <c r="I48" s="4" t="s">
        <v>34</v>
      </c>
      <c r="J48" s="4" t="s">
        <v>60</v>
      </c>
      <c r="K48" s="4" t="s">
        <v>37</v>
      </c>
      <c r="L48" s="4" t="s">
        <v>277</v>
      </c>
      <c r="M48" s="4" t="s">
        <v>39</v>
      </c>
      <c r="N48" s="4" t="s">
        <v>278</v>
      </c>
      <c r="O48" s="4">
        <v>10</v>
      </c>
      <c r="P48" s="4" t="s">
        <v>41</v>
      </c>
      <c r="Q48" s="4" t="s">
        <v>34</v>
      </c>
      <c r="R48" s="4" t="s">
        <v>34</v>
      </c>
      <c r="S48" s="4" t="s">
        <v>34</v>
      </c>
      <c r="T48" s="4" t="s">
        <v>34</v>
      </c>
      <c r="U48" s="4" t="s">
        <v>34</v>
      </c>
      <c r="V48" s="4" t="s">
        <v>34</v>
      </c>
      <c r="W48" s="4" t="s">
        <v>55</v>
      </c>
      <c r="X48" s="4" t="s">
        <v>37</v>
      </c>
      <c r="Y48" s="4" t="s">
        <v>43</v>
      </c>
      <c r="Z48" s="4" t="s">
        <v>75</v>
      </c>
      <c r="AA48" s="4" t="s">
        <v>279</v>
      </c>
      <c r="AB48" s="4">
        <v>5</v>
      </c>
    </row>
    <row r="49" spans="1:28" ht="22.5" customHeight="1" x14ac:dyDescent="0.25">
      <c r="A49" s="3">
        <v>46120.810132615741</v>
      </c>
      <c r="B49" s="4" t="s">
        <v>280</v>
      </c>
      <c r="C49" s="4" t="s">
        <v>29</v>
      </c>
      <c r="D49" s="4" t="s">
        <v>204</v>
      </c>
      <c r="E49" s="4" t="s">
        <v>31</v>
      </c>
      <c r="F49" s="4" t="s">
        <v>281</v>
      </c>
      <c r="G49" s="4" t="s">
        <v>127</v>
      </c>
      <c r="H49" s="4" t="s">
        <v>78</v>
      </c>
      <c r="I49" s="4" t="s">
        <v>34</v>
      </c>
      <c r="J49" s="4" t="s">
        <v>60</v>
      </c>
      <c r="K49" s="4" t="s">
        <v>41</v>
      </c>
      <c r="L49" s="4" t="s">
        <v>282</v>
      </c>
      <c r="M49" s="4" t="s">
        <v>39</v>
      </c>
      <c r="N49" s="4" t="s">
        <v>283</v>
      </c>
      <c r="O49" s="4">
        <v>10</v>
      </c>
      <c r="P49" s="4" t="s">
        <v>41</v>
      </c>
      <c r="Q49" s="4" t="s">
        <v>34</v>
      </c>
      <c r="R49" s="4" t="s">
        <v>34</v>
      </c>
      <c r="S49" s="4" t="s">
        <v>34</v>
      </c>
      <c r="T49" s="4" t="s">
        <v>34</v>
      </c>
      <c r="U49" s="4" t="s">
        <v>34</v>
      </c>
      <c r="V49" s="4" t="s">
        <v>34</v>
      </c>
      <c r="W49" s="4" t="s">
        <v>34</v>
      </c>
      <c r="X49" s="4" t="s">
        <v>34</v>
      </c>
      <c r="Y49" s="4" t="s">
        <v>39</v>
      </c>
      <c r="Z49" s="4" t="s">
        <v>34</v>
      </c>
      <c r="AA49" s="4" t="s">
        <v>284</v>
      </c>
      <c r="AB49" s="4">
        <v>6</v>
      </c>
    </row>
    <row r="50" spans="1:28" ht="22.5" customHeight="1" x14ac:dyDescent="0.25">
      <c r="A50" s="3">
        <v>46131.573814780088</v>
      </c>
      <c r="B50" s="4" t="s">
        <v>285</v>
      </c>
      <c r="C50" s="4" t="s">
        <v>29</v>
      </c>
      <c r="D50" s="4" t="s">
        <v>46</v>
      </c>
      <c r="E50" s="4" t="s">
        <v>31</v>
      </c>
      <c r="F50" s="4" t="s">
        <v>34</v>
      </c>
      <c r="G50" s="4" t="s">
        <v>127</v>
      </c>
      <c r="H50" s="4" t="s">
        <v>78</v>
      </c>
      <c r="I50" s="4" t="s">
        <v>34</v>
      </c>
      <c r="J50" s="4" t="s">
        <v>60</v>
      </c>
      <c r="K50" s="4" t="s">
        <v>41</v>
      </c>
      <c r="L50" s="4" t="s">
        <v>286</v>
      </c>
      <c r="M50" s="4" t="s">
        <v>39</v>
      </c>
      <c r="N50" s="4" t="s">
        <v>287</v>
      </c>
      <c r="O50" s="4">
        <v>8</v>
      </c>
      <c r="P50" s="4" t="s">
        <v>288</v>
      </c>
      <c r="Q50" s="4" t="s">
        <v>34</v>
      </c>
      <c r="R50" s="4" t="s">
        <v>42</v>
      </c>
      <c r="S50" s="4" t="s">
        <v>34</v>
      </c>
      <c r="T50" s="4" t="s">
        <v>34</v>
      </c>
      <c r="U50" s="4" t="s">
        <v>34</v>
      </c>
      <c r="V50" s="4" t="s">
        <v>34</v>
      </c>
      <c r="W50" s="4" t="s">
        <v>34</v>
      </c>
      <c r="X50" s="4" t="s">
        <v>34</v>
      </c>
      <c r="Y50" s="4" t="s">
        <v>39</v>
      </c>
      <c r="Z50" s="4" t="s">
        <v>71</v>
      </c>
      <c r="AA50" s="4" t="s">
        <v>174</v>
      </c>
      <c r="AB50" s="4">
        <v>3</v>
      </c>
    </row>
    <row r="51" spans="1:28" ht="22.5" customHeight="1" x14ac:dyDescent="0.25">
      <c r="A51" s="3">
        <v>46131.575930659717</v>
      </c>
      <c r="B51" s="4" t="s">
        <v>289</v>
      </c>
      <c r="C51" s="4" t="s">
        <v>84</v>
      </c>
      <c r="D51" s="4" t="s">
        <v>46</v>
      </c>
      <c r="E51" s="4" t="s">
        <v>31</v>
      </c>
      <c r="F51" s="4" t="s">
        <v>268</v>
      </c>
      <c r="G51" s="4" t="s">
        <v>34</v>
      </c>
      <c r="H51" s="4" t="s">
        <v>34</v>
      </c>
      <c r="I51" s="4" t="s">
        <v>34</v>
      </c>
      <c r="J51" s="4" t="s">
        <v>47</v>
      </c>
      <c r="K51" s="4" t="s">
        <v>37</v>
      </c>
      <c r="L51" s="4" t="s">
        <v>290</v>
      </c>
      <c r="M51" s="4" t="s">
        <v>39</v>
      </c>
      <c r="N51" s="4" t="s">
        <v>291</v>
      </c>
      <c r="O51" s="4">
        <v>7</v>
      </c>
      <c r="P51" s="4" t="s">
        <v>34</v>
      </c>
      <c r="Q51" s="4" t="s">
        <v>42</v>
      </c>
      <c r="R51" s="4" t="s">
        <v>34</v>
      </c>
      <c r="S51" s="4" t="s">
        <v>34</v>
      </c>
      <c r="T51" s="4" t="s">
        <v>34</v>
      </c>
      <c r="U51" s="4" t="s">
        <v>34</v>
      </c>
      <c r="V51" s="4" t="s">
        <v>42</v>
      </c>
      <c r="W51" s="4" t="s">
        <v>34</v>
      </c>
      <c r="X51" s="4" t="s">
        <v>34</v>
      </c>
      <c r="Y51" s="4" t="s">
        <v>39</v>
      </c>
      <c r="Z51" s="4" t="s">
        <v>34</v>
      </c>
      <c r="AA51" s="4" t="s">
        <v>292</v>
      </c>
      <c r="AB51" s="4">
        <v>3</v>
      </c>
    </row>
    <row r="52" spans="1:28" ht="22.5" customHeight="1" x14ac:dyDescent="0.25">
      <c r="A52" s="3">
        <v>46131.588003252313</v>
      </c>
      <c r="B52" s="4" t="s">
        <v>293</v>
      </c>
      <c r="C52" s="4" t="s">
        <v>29</v>
      </c>
      <c r="D52" s="4" t="s">
        <v>46</v>
      </c>
      <c r="E52" s="4" t="s">
        <v>31</v>
      </c>
      <c r="F52" s="4" t="s">
        <v>37</v>
      </c>
      <c r="G52" s="4" t="s">
        <v>142</v>
      </c>
      <c r="H52" s="4" t="s">
        <v>37</v>
      </c>
      <c r="I52" s="4" t="s">
        <v>37</v>
      </c>
      <c r="J52" s="4" t="s">
        <v>72</v>
      </c>
      <c r="K52" s="4" t="s">
        <v>34</v>
      </c>
      <c r="L52" s="4" t="s">
        <v>294</v>
      </c>
      <c r="M52" s="4" t="s">
        <v>39</v>
      </c>
      <c r="N52" s="4" t="s">
        <v>295</v>
      </c>
      <c r="O52" s="4">
        <v>3</v>
      </c>
      <c r="P52" s="4" t="s">
        <v>34</v>
      </c>
      <c r="Q52" s="4" t="s">
        <v>34</v>
      </c>
      <c r="R52" s="4" t="s">
        <v>37</v>
      </c>
      <c r="S52" s="4" t="s">
        <v>34</v>
      </c>
      <c r="T52" s="4" t="s">
        <v>34</v>
      </c>
      <c r="U52" s="4" t="s">
        <v>37</v>
      </c>
      <c r="V52" s="4" t="s">
        <v>37</v>
      </c>
      <c r="W52" s="4" t="s">
        <v>37</v>
      </c>
      <c r="X52" s="4" t="s">
        <v>55</v>
      </c>
      <c r="Y52" s="4" t="s">
        <v>43</v>
      </c>
      <c r="Z52" s="4" t="s">
        <v>75</v>
      </c>
      <c r="AA52" s="4" t="s">
        <v>296</v>
      </c>
      <c r="AB52" s="4">
        <v>1</v>
      </c>
    </row>
    <row r="53" spans="1:28" ht="22.5" customHeight="1" x14ac:dyDescent="0.25">
      <c r="A53" s="3">
        <v>46131.614671770833</v>
      </c>
      <c r="B53" s="4" t="s">
        <v>52</v>
      </c>
      <c r="C53" s="4" t="s">
        <v>29</v>
      </c>
      <c r="D53" s="4" t="s">
        <v>46</v>
      </c>
      <c r="E53" s="4" t="s">
        <v>31</v>
      </c>
      <c r="F53" s="4" t="s">
        <v>58</v>
      </c>
      <c r="G53" s="4" t="s">
        <v>37</v>
      </c>
      <c r="H53" s="4" t="s">
        <v>37</v>
      </c>
      <c r="I53" s="4" t="s">
        <v>37</v>
      </c>
      <c r="J53" s="4" t="s">
        <v>216</v>
      </c>
      <c r="K53" s="4" t="s">
        <v>34</v>
      </c>
      <c r="L53" s="4" t="s">
        <v>297</v>
      </c>
      <c r="M53" s="4" t="s">
        <v>39</v>
      </c>
      <c r="N53" s="4" t="s">
        <v>74</v>
      </c>
      <c r="O53" s="4">
        <v>10</v>
      </c>
      <c r="P53" s="4" t="s">
        <v>298</v>
      </c>
      <c r="Q53" s="4" t="s">
        <v>37</v>
      </c>
      <c r="R53" s="4" t="s">
        <v>37</v>
      </c>
      <c r="S53" s="4" t="s">
        <v>34</v>
      </c>
      <c r="T53" s="4" t="s">
        <v>37</v>
      </c>
      <c r="U53" s="4" t="s">
        <v>37</v>
      </c>
      <c r="V53" s="4" t="s">
        <v>34</v>
      </c>
      <c r="W53" s="4" t="s">
        <v>37</v>
      </c>
      <c r="X53" s="4" t="s">
        <v>37</v>
      </c>
      <c r="Y53" s="4" t="s">
        <v>39</v>
      </c>
      <c r="Z53" s="4" t="s">
        <v>34</v>
      </c>
      <c r="AA53" s="4" t="s">
        <v>299</v>
      </c>
      <c r="AB53" s="4">
        <v>10</v>
      </c>
    </row>
    <row r="54" spans="1:28" ht="22.5" customHeight="1" x14ac:dyDescent="0.25">
      <c r="A54" s="3">
        <v>46131.616901643516</v>
      </c>
      <c r="B54" s="4" t="s">
        <v>300</v>
      </c>
      <c r="C54" s="4" t="s">
        <v>29</v>
      </c>
      <c r="D54" s="4" t="s">
        <v>46</v>
      </c>
      <c r="E54" s="4" t="s">
        <v>31</v>
      </c>
      <c r="F54" s="4" t="s">
        <v>301</v>
      </c>
      <c r="G54" s="4" t="s">
        <v>120</v>
      </c>
      <c r="H54" s="4" t="s">
        <v>302</v>
      </c>
      <c r="I54" s="4" t="s">
        <v>71</v>
      </c>
      <c r="J54" s="4" t="s">
        <v>36</v>
      </c>
      <c r="K54" s="4" t="s">
        <v>34</v>
      </c>
      <c r="L54" s="4" t="s">
        <v>303</v>
      </c>
      <c r="M54" s="4" t="s">
        <v>39</v>
      </c>
      <c r="N54" s="4" t="s">
        <v>304</v>
      </c>
      <c r="O54" s="4">
        <v>9</v>
      </c>
      <c r="P54" s="4" t="s">
        <v>55</v>
      </c>
      <c r="Q54" s="4" t="s">
        <v>55</v>
      </c>
      <c r="R54" s="4" t="s">
        <v>42</v>
      </c>
      <c r="S54" s="4" t="s">
        <v>42</v>
      </c>
      <c r="T54" s="4" t="s">
        <v>42</v>
      </c>
      <c r="U54" s="4" t="s">
        <v>55</v>
      </c>
      <c r="V54" s="4" t="s">
        <v>42</v>
      </c>
      <c r="W54" s="4" t="s">
        <v>55</v>
      </c>
      <c r="X54" s="4" t="s">
        <v>55</v>
      </c>
      <c r="Y54" s="4" t="s">
        <v>39</v>
      </c>
      <c r="Z54" s="4" t="s">
        <v>34</v>
      </c>
      <c r="AA54" s="4" t="s">
        <v>305</v>
      </c>
      <c r="AB54" s="4">
        <v>9</v>
      </c>
    </row>
    <row r="55" spans="1:28" ht="22.5" customHeight="1" x14ac:dyDescent="0.25">
      <c r="A55" s="3">
        <v>46131.617201817135</v>
      </c>
      <c r="B55" s="4" t="s">
        <v>306</v>
      </c>
      <c r="C55" s="4" t="s">
        <v>84</v>
      </c>
      <c r="D55" s="4" t="s">
        <v>126</v>
      </c>
      <c r="E55" s="4" t="s">
        <v>31</v>
      </c>
      <c r="F55" s="4" t="s">
        <v>307</v>
      </c>
      <c r="G55" s="4" t="s">
        <v>34</v>
      </c>
      <c r="H55" s="4" t="s">
        <v>142</v>
      </c>
      <c r="I55" s="4" t="s">
        <v>34</v>
      </c>
      <c r="J55" s="4" t="s">
        <v>36</v>
      </c>
      <c r="K55" s="4" t="s">
        <v>34</v>
      </c>
      <c r="L55" s="4" t="s">
        <v>308</v>
      </c>
      <c r="M55" s="4" t="s">
        <v>39</v>
      </c>
      <c r="N55" s="4" t="s">
        <v>309</v>
      </c>
      <c r="O55" s="4">
        <v>10</v>
      </c>
      <c r="P55" s="4" t="s">
        <v>37</v>
      </c>
      <c r="Q55" s="4" t="s">
        <v>34</v>
      </c>
      <c r="R55" s="4" t="s">
        <v>34</v>
      </c>
      <c r="S55" s="4" t="s">
        <v>34</v>
      </c>
      <c r="T55" s="4" t="s">
        <v>34</v>
      </c>
      <c r="U55" s="4" t="s">
        <v>34</v>
      </c>
      <c r="V55" s="4" t="s">
        <v>34</v>
      </c>
      <c r="W55" s="4" t="s">
        <v>34</v>
      </c>
      <c r="X55" s="4" t="s">
        <v>34</v>
      </c>
      <c r="Y55" s="4" t="s">
        <v>39</v>
      </c>
      <c r="Z55" s="4" t="s">
        <v>34</v>
      </c>
      <c r="AA55" s="4" t="s">
        <v>310</v>
      </c>
      <c r="AB55" s="4">
        <v>10</v>
      </c>
    </row>
    <row r="56" spans="1:28" ht="22.5" customHeight="1" x14ac:dyDescent="0.25">
      <c r="A56" s="3">
        <v>46131.617617800926</v>
      </c>
      <c r="B56" s="4" t="s">
        <v>311</v>
      </c>
      <c r="C56" s="4" t="s">
        <v>29</v>
      </c>
      <c r="D56" s="4" t="s">
        <v>312</v>
      </c>
      <c r="E56" s="4" t="s">
        <v>31</v>
      </c>
      <c r="F56" s="4" t="s">
        <v>41</v>
      </c>
      <c r="G56" s="4" t="s">
        <v>71</v>
      </c>
      <c r="H56" s="4" t="s">
        <v>41</v>
      </c>
      <c r="I56" s="4" t="s">
        <v>71</v>
      </c>
      <c r="J56" s="4" t="s">
        <v>72</v>
      </c>
      <c r="K56" s="4" t="s">
        <v>41</v>
      </c>
      <c r="L56" s="4" t="s">
        <v>313</v>
      </c>
      <c r="M56" s="4" t="s">
        <v>39</v>
      </c>
      <c r="N56" s="4" t="s">
        <v>314</v>
      </c>
      <c r="O56" s="4">
        <v>5</v>
      </c>
      <c r="P56" s="4" t="s">
        <v>34</v>
      </c>
      <c r="Q56" s="4" t="s">
        <v>42</v>
      </c>
      <c r="R56" s="4" t="s">
        <v>42</v>
      </c>
      <c r="S56" s="4" t="s">
        <v>42</v>
      </c>
      <c r="T56" s="4" t="s">
        <v>42</v>
      </c>
      <c r="U56" s="4" t="s">
        <v>34</v>
      </c>
      <c r="V56" s="4" t="s">
        <v>42</v>
      </c>
      <c r="W56" s="4" t="s">
        <v>34</v>
      </c>
      <c r="X56" s="4" t="s">
        <v>34</v>
      </c>
      <c r="Y56" s="4" t="s">
        <v>89</v>
      </c>
      <c r="Z56" s="4" t="s">
        <v>75</v>
      </c>
      <c r="AA56" s="4" t="s">
        <v>313</v>
      </c>
      <c r="AB56" s="4">
        <v>5</v>
      </c>
    </row>
    <row r="57" spans="1:28" ht="22.5" customHeight="1" x14ac:dyDescent="0.25">
      <c r="A57" s="3">
        <v>46131.622290347223</v>
      </c>
      <c r="B57" s="4" t="s">
        <v>315</v>
      </c>
      <c r="C57" s="4" t="s">
        <v>84</v>
      </c>
      <c r="D57" s="4" t="s">
        <v>46</v>
      </c>
      <c r="E57" s="4" t="s">
        <v>31</v>
      </c>
      <c r="F57" s="4" t="s">
        <v>71</v>
      </c>
      <c r="G57" s="4" t="s">
        <v>37</v>
      </c>
      <c r="H57" s="4" t="s">
        <v>37</v>
      </c>
      <c r="I57" s="4" t="s">
        <v>37</v>
      </c>
      <c r="J57" s="4" t="s">
        <v>316</v>
      </c>
      <c r="K57" s="4" t="s">
        <v>41</v>
      </c>
      <c r="L57" s="4" t="s">
        <v>213</v>
      </c>
      <c r="M57" s="4" t="s">
        <v>43</v>
      </c>
      <c r="N57" s="4" t="s">
        <v>213</v>
      </c>
      <c r="O57" s="4">
        <v>2</v>
      </c>
      <c r="P57" s="4" t="s">
        <v>317</v>
      </c>
      <c r="Q57" s="4" t="s">
        <v>34</v>
      </c>
      <c r="R57" s="4" t="s">
        <v>34</v>
      </c>
      <c r="S57" s="4" t="s">
        <v>42</v>
      </c>
      <c r="T57" s="4" t="s">
        <v>42</v>
      </c>
      <c r="U57" s="4" t="s">
        <v>42</v>
      </c>
      <c r="V57" s="4" t="s">
        <v>42</v>
      </c>
      <c r="W57" s="4" t="s">
        <v>42</v>
      </c>
      <c r="X57" s="4" t="s">
        <v>42</v>
      </c>
      <c r="Y57" s="4" t="s">
        <v>43</v>
      </c>
      <c r="Z57" s="4" t="s">
        <v>34</v>
      </c>
      <c r="AA57" s="4" t="s">
        <v>318</v>
      </c>
      <c r="AB57" s="4">
        <v>4</v>
      </c>
    </row>
    <row r="58" spans="1:28" ht="22.5" customHeight="1" x14ac:dyDescent="0.25">
      <c r="A58" s="3">
        <v>46131.622395416663</v>
      </c>
      <c r="B58" s="4" t="s">
        <v>319</v>
      </c>
      <c r="C58" s="4" t="s">
        <v>84</v>
      </c>
      <c r="D58" s="4" t="s">
        <v>46</v>
      </c>
      <c r="E58" s="4" t="s">
        <v>31</v>
      </c>
      <c r="F58" s="4" t="s">
        <v>37</v>
      </c>
      <c r="G58" s="4" t="s">
        <v>37</v>
      </c>
      <c r="H58" s="4" t="s">
        <v>37</v>
      </c>
      <c r="I58" s="4" t="s">
        <v>37</v>
      </c>
      <c r="J58" s="4" t="s">
        <v>316</v>
      </c>
      <c r="K58" s="4" t="s">
        <v>34</v>
      </c>
      <c r="L58" s="4" t="s">
        <v>320</v>
      </c>
      <c r="M58" s="4" t="s">
        <v>39</v>
      </c>
      <c r="N58" s="4" t="s">
        <v>321</v>
      </c>
      <c r="O58" s="4">
        <v>6</v>
      </c>
      <c r="P58" s="4" t="s">
        <v>55</v>
      </c>
      <c r="Q58" s="4" t="s">
        <v>37</v>
      </c>
      <c r="R58" s="4" t="s">
        <v>37</v>
      </c>
      <c r="S58" s="4" t="s">
        <v>42</v>
      </c>
      <c r="T58" s="4" t="s">
        <v>37</v>
      </c>
      <c r="U58" s="4" t="s">
        <v>37</v>
      </c>
      <c r="V58" s="4" t="s">
        <v>37</v>
      </c>
      <c r="W58" s="4" t="s">
        <v>42</v>
      </c>
      <c r="X58" s="4" t="s">
        <v>37</v>
      </c>
      <c r="Y58" s="4" t="s">
        <v>43</v>
      </c>
      <c r="Z58" s="4" t="s">
        <v>75</v>
      </c>
      <c r="AA58" s="4" t="s">
        <v>322</v>
      </c>
      <c r="AB58" s="4">
        <v>3</v>
      </c>
    </row>
    <row r="59" spans="1:28" ht="22.5" customHeight="1" x14ac:dyDescent="0.25">
      <c r="A59" s="3">
        <v>46131.633338518513</v>
      </c>
      <c r="B59" s="4" t="s">
        <v>323</v>
      </c>
      <c r="C59" s="4" t="s">
        <v>29</v>
      </c>
      <c r="D59" s="4" t="s">
        <v>46</v>
      </c>
      <c r="E59" s="4" t="s">
        <v>31</v>
      </c>
      <c r="F59" s="4" t="s">
        <v>324</v>
      </c>
      <c r="G59" s="4" t="s">
        <v>55</v>
      </c>
      <c r="H59" s="4" t="s">
        <v>55</v>
      </c>
      <c r="I59" s="4" t="s">
        <v>55</v>
      </c>
      <c r="J59" s="4" t="s">
        <v>60</v>
      </c>
      <c r="K59" s="4" t="s">
        <v>61</v>
      </c>
      <c r="L59" s="4" t="s">
        <v>325</v>
      </c>
      <c r="M59" s="4" t="s">
        <v>39</v>
      </c>
      <c r="N59" s="4" t="s">
        <v>326</v>
      </c>
      <c r="O59" s="4">
        <v>1</v>
      </c>
      <c r="P59" s="4" t="s">
        <v>55</v>
      </c>
      <c r="Q59" s="4" t="s">
        <v>55</v>
      </c>
      <c r="R59" s="4" t="s">
        <v>55</v>
      </c>
      <c r="S59" s="4" t="s">
        <v>55</v>
      </c>
      <c r="T59" s="4" t="s">
        <v>55</v>
      </c>
      <c r="U59" s="4" t="s">
        <v>55</v>
      </c>
      <c r="V59" s="4" t="s">
        <v>55</v>
      </c>
      <c r="W59" s="4" t="s">
        <v>55</v>
      </c>
      <c r="X59" s="4" t="s">
        <v>55</v>
      </c>
      <c r="Y59" s="4" t="s">
        <v>89</v>
      </c>
      <c r="Z59" s="4" t="s">
        <v>75</v>
      </c>
      <c r="AA59" s="4" t="s">
        <v>327</v>
      </c>
      <c r="AB59" s="4">
        <v>10</v>
      </c>
    </row>
    <row r="60" spans="1:28" ht="22.5" customHeight="1" x14ac:dyDescent="0.25">
      <c r="A60" s="3">
        <v>46131.633888333337</v>
      </c>
      <c r="B60" s="4" t="s">
        <v>328</v>
      </c>
      <c r="C60" s="4" t="s">
        <v>84</v>
      </c>
      <c r="D60" s="4" t="s">
        <v>46</v>
      </c>
      <c r="E60" s="4" t="s">
        <v>31</v>
      </c>
      <c r="F60" s="4" t="s">
        <v>329</v>
      </c>
      <c r="G60" s="4" t="s">
        <v>71</v>
      </c>
      <c r="H60" s="4" t="s">
        <v>41</v>
      </c>
      <c r="I60" s="4" t="s">
        <v>71</v>
      </c>
      <c r="J60" s="4" t="s">
        <v>60</v>
      </c>
      <c r="K60" s="4" t="s">
        <v>41</v>
      </c>
      <c r="L60" s="4" t="s">
        <v>330</v>
      </c>
      <c r="M60" s="4" t="s">
        <v>39</v>
      </c>
      <c r="N60" s="4" t="s">
        <v>331</v>
      </c>
      <c r="O60" s="4">
        <v>8</v>
      </c>
      <c r="P60" s="4" t="s">
        <v>55</v>
      </c>
      <c r="Q60" s="4" t="s">
        <v>55</v>
      </c>
      <c r="R60" s="4" t="s">
        <v>34</v>
      </c>
      <c r="S60" s="4" t="s">
        <v>42</v>
      </c>
      <c r="T60" s="4" t="s">
        <v>55</v>
      </c>
      <c r="U60" s="4" t="s">
        <v>55</v>
      </c>
      <c r="V60" s="4" t="s">
        <v>55</v>
      </c>
      <c r="W60" s="4" t="s">
        <v>42</v>
      </c>
      <c r="X60" s="4" t="s">
        <v>55</v>
      </c>
      <c r="Y60" s="4" t="s">
        <v>39</v>
      </c>
      <c r="Z60" s="4" t="s">
        <v>34</v>
      </c>
      <c r="AA60" s="4" t="s">
        <v>332</v>
      </c>
      <c r="AB60" s="4">
        <v>9</v>
      </c>
    </row>
    <row r="61" spans="1:28" ht="22.5" customHeight="1" x14ac:dyDescent="0.25">
      <c r="A61" s="3">
        <v>46131.634001469909</v>
      </c>
      <c r="B61" s="4" t="s">
        <v>333</v>
      </c>
      <c r="C61" s="4" t="s">
        <v>84</v>
      </c>
      <c r="D61" s="4" t="s">
        <v>46</v>
      </c>
      <c r="E61" s="4" t="s">
        <v>31</v>
      </c>
      <c r="F61" s="4" t="s">
        <v>34</v>
      </c>
      <c r="G61" s="4" t="s">
        <v>34</v>
      </c>
      <c r="H61" s="4" t="s">
        <v>34</v>
      </c>
      <c r="I61" s="4" t="s">
        <v>34</v>
      </c>
      <c r="J61" s="4" t="s">
        <v>47</v>
      </c>
      <c r="K61" s="4" t="s">
        <v>41</v>
      </c>
      <c r="L61" s="4" t="s">
        <v>334</v>
      </c>
      <c r="M61" s="4" t="s">
        <v>39</v>
      </c>
      <c r="N61" s="4" t="s">
        <v>335</v>
      </c>
      <c r="O61" s="4">
        <v>9</v>
      </c>
      <c r="P61" s="4" t="s">
        <v>41</v>
      </c>
      <c r="Q61" s="4" t="s">
        <v>34</v>
      </c>
      <c r="R61" s="4" t="s">
        <v>34</v>
      </c>
      <c r="S61" s="4" t="s">
        <v>34</v>
      </c>
      <c r="T61" s="4" t="s">
        <v>34</v>
      </c>
      <c r="U61" s="4" t="s">
        <v>37</v>
      </c>
      <c r="V61" s="4" t="s">
        <v>34</v>
      </c>
      <c r="W61" s="4" t="s">
        <v>34</v>
      </c>
      <c r="X61" s="4" t="s">
        <v>34</v>
      </c>
      <c r="Y61" s="4" t="s">
        <v>39</v>
      </c>
      <c r="Z61" s="4" t="s">
        <v>34</v>
      </c>
      <c r="AA61" s="4" t="s">
        <v>336</v>
      </c>
      <c r="AB61" s="4">
        <v>9</v>
      </c>
    </row>
    <row r="62" spans="1:28" ht="22.5" customHeight="1" x14ac:dyDescent="0.25">
      <c r="A62" s="3">
        <v>46131.639061666661</v>
      </c>
      <c r="B62" s="4" t="s">
        <v>337</v>
      </c>
      <c r="C62" s="4" t="s">
        <v>29</v>
      </c>
      <c r="D62" s="4" t="s">
        <v>204</v>
      </c>
      <c r="E62" s="4" t="s">
        <v>31</v>
      </c>
      <c r="F62" s="4" t="s">
        <v>338</v>
      </c>
      <c r="G62" s="4" t="s">
        <v>127</v>
      </c>
      <c r="H62" s="4" t="s">
        <v>78</v>
      </c>
      <c r="I62" s="4" t="s">
        <v>71</v>
      </c>
      <c r="J62" s="4" t="s">
        <v>36</v>
      </c>
      <c r="K62" s="4" t="s">
        <v>34</v>
      </c>
      <c r="L62" s="4" t="s">
        <v>339</v>
      </c>
      <c r="M62" s="4" t="s">
        <v>39</v>
      </c>
      <c r="N62" s="4" t="s">
        <v>340</v>
      </c>
      <c r="O62" s="4">
        <v>8</v>
      </c>
      <c r="P62" s="4" t="s">
        <v>37</v>
      </c>
      <c r="Q62" s="4" t="s">
        <v>34</v>
      </c>
      <c r="R62" s="4" t="s">
        <v>42</v>
      </c>
      <c r="S62" s="4" t="s">
        <v>42</v>
      </c>
      <c r="T62" s="4" t="s">
        <v>37</v>
      </c>
      <c r="U62" s="4" t="s">
        <v>42</v>
      </c>
      <c r="V62" s="4" t="s">
        <v>34</v>
      </c>
      <c r="W62" s="4" t="s">
        <v>55</v>
      </c>
      <c r="X62" s="4" t="s">
        <v>55</v>
      </c>
      <c r="Y62" s="4" t="s">
        <v>43</v>
      </c>
      <c r="Z62" s="4" t="s">
        <v>75</v>
      </c>
      <c r="AA62" s="4" t="s">
        <v>341</v>
      </c>
      <c r="AB62" s="4">
        <v>3</v>
      </c>
    </row>
    <row r="63" spans="1:28" ht="22.5" customHeight="1" x14ac:dyDescent="0.25">
      <c r="A63" s="3">
        <v>46131.64164829861</v>
      </c>
      <c r="B63" s="4" t="s">
        <v>342</v>
      </c>
      <c r="C63" s="4" t="s">
        <v>29</v>
      </c>
      <c r="D63" s="4" t="s">
        <v>46</v>
      </c>
      <c r="E63" s="4" t="s">
        <v>31</v>
      </c>
      <c r="F63" s="4" t="s">
        <v>247</v>
      </c>
      <c r="G63" s="4" t="s">
        <v>114</v>
      </c>
      <c r="H63" s="4" t="s">
        <v>136</v>
      </c>
      <c r="I63" s="4" t="s">
        <v>55</v>
      </c>
      <c r="J63" s="4" t="s">
        <v>60</v>
      </c>
      <c r="K63" s="4" t="s">
        <v>34</v>
      </c>
      <c r="L63" s="4" t="s">
        <v>343</v>
      </c>
      <c r="M63" s="4" t="s">
        <v>39</v>
      </c>
      <c r="N63" s="4" t="s">
        <v>344</v>
      </c>
      <c r="O63" s="4">
        <v>10</v>
      </c>
      <c r="P63" s="4" t="s">
        <v>34</v>
      </c>
      <c r="Q63" s="4" t="s">
        <v>55</v>
      </c>
      <c r="R63" s="4" t="s">
        <v>37</v>
      </c>
      <c r="S63" s="4" t="s">
        <v>55</v>
      </c>
      <c r="T63" s="4" t="s">
        <v>55</v>
      </c>
      <c r="U63" s="4" t="s">
        <v>55</v>
      </c>
      <c r="V63" s="4" t="s">
        <v>55</v>
      </c>
      <c r="W63" s="4" t="s">
        <v>55</v>
      </c>
      <c r="X63" s="4" t="s">
        <v>55</v>
      </c>
      <c r="Y63" s="4" t="s">
        <v>43</v>
      </c>
      <c r="Z63" s="4" t="s">
        <v>75</v>
      </c>
      <c r="AA63" s="4" t="s">
        <v>345</v>
      </c>
      <c r="AB63" s="4">
        <v>6</v>
      </c>
    </row>
    <row r="64" spans="1:28" ht="22.5" customHeight="1" x14ac:dyDescent="0.25">
      <c r="A64" s="3">
        <v>46131.642508263889</v>
      </c>
      <c r="B64" s="4" t="s">
        <v>186</v>
      </c>
      <c r="C64" s="4" t="s">
        <v>84</v>
      </c>
      <c r="D64" s="4" t="s">
        <v>46</v>
      </c>
      <c r="E64" s="4" t="s">
        <v>31</v>
      </c>
      <c r="F64" s="4" t="s">
        <v>58</v>
      </c>
      <c r="G64" s="4" t="s">
        <v>34</v>
      </c>
      <c r="H64" s="4" t="s">
        <v>34</v>
      </c>
      <c r="I64" s="4" t="s">
        <v>34</v>
      </c>
      <c r="J64" s="4" t="s">
        <v>316</v>
      </c>
      <c r="K64" s="4" t="s">
        <v>61</v>
      </c>
      <c r="L64" s="4" t="s">
        <v>346</v>
      </c>
      <c r="M64" s="4" t="s">
        <v>39</v>
      </c>
      <c r="N64" s="4" t="s">
        <v>347</v>
      </c>
      <c r="O64" s="4">
        <v>10</v>
      </c>
      <c r="P64" s="4" t="s">
        <v>55</v>
      </c>
      <c r="Q64" s="4" t="s">
        <v>34</v>
      </c>
      <c r="R64" s="4" t="s">
        <v>34</v>
      </c>
      <c r="S64" s="4" t="s">
        <v>34</v>
      </c>
      <c r="T64" s="4" t="s">
        <v>34</v>
      </c>
      <c r="U64" s="4" t="s">
        <v>34</v>
      </c>
      <c r="V64" s="4" t="s">
        <v>34</v>
      </c>
      <c r="W64" s="4" t="s">
        <v>34</v>
      </c>
      <c r="X64" s="4" t="s">
        <v>34</v>
      </c>
      <c r="Y64" s="4" t="s">
        <v>39</v>
      </c>
      <c r="Z64" s="4" t="s">
        <v>34</v>
      </c>
      <c r="AA64" s="4" t="s">
        <v>348</v>
      </c>
      <c r="AB64" s="4">
        <v>10</v>
      </c>
    </row>
    <row r="65" spans="1:28" ht="22.5" customHeight="1" x14ac:dyDescent="0.25">
      <c r="A65" s="3">
        <v>46131.643069120371</v>
      </c>
      <c r="B65" s="4" t="s">
        <v>349</v>
      </c>
      <c r="C65" s="4" t="s">
        <v>29</v>
      </c>
      <c r="D65" s="4" t="s">
        <v>46</v>
      </c>
      <c r="E65" s="4" t="s">
        <v>350</v>
      </c>
      <c r="F65" s="4" t="s">
        <v>34</v>
      </c>
      <c r="G65" s="4" t="s">
        <v>114</v>
      </c>
      <c r="H65" s="4" t="s">
        <v>34</v>
      </c>
      <c r="I65" s="4" t="s">
        <v>34</v>
      </c>
      <c r="J65" s="4" t="s">
        <v>216</v>
      </c>
      <c r="K65" s="4" t="s">
        <v>61</v>
      </c>
      <c r="L65" s="4" t="s">
        <v>351</v>
      </c>
      <c r="M65" s="4" t="s">
        <v>39</v>
      </c>
      <c r="N65" s="4" t="s">
        <v>352</v>
      </c>
      <c r="O65" s="4">
        <v>9</v>
      </c>
      <c r="P65" s="4" t="s">
        <v>55</v>
      </c>
      <c r="Q65" s="4" t="s">
        <v>34</v>
      </c>
      <c r="R65" s="4" t="s">
        <v>34</v>
      </c>
      <c r="S65" s="4" t="s">
        <v>34</v>
      </c>
      <c r="T65" s="4" t="s">
        <v>34</v>
      </c>
      <c r="U65" s="4" t="s">
        <v>34</v>
      </c>
      <c r="V65" s="4" t="s">
        <v>34</v>
      </c>
      <c r="W65" s="4" t="s">
        <v>34</v>
      </c>
      <c r="X65" s="4" t="s">
        <v>34</v>
      </c>
      <c r="Y65" s="4" t="s">
        <v>43</v>
      </c>
      <c r="Z65" s="4" t="s">
        <v>75</v>
      </c>
      <c r="AA65" s="4" t="s">
        <v>353</v>
      </c>
      <c r="AB65" s="4">
        <v>5</v>
      </c>
    </row>
    <row r="66" spans="1:28" ht="22.5" customHeight="1" x14ac:dyDescent="0.25">
      <c r="A66" s="3">
        <v>46131.643624467593</v>
      </c>
      <c r="B66" s="4" t="s">
        <v>354</v>
      </c>
      <c r="C66" s="4" t="s">
        <v>29</v>
      </c>
      <c r="D66" s="4" t="s">
        <v>46</v>
      </c>
      <c r="E66" s="4" t="s">
        <v>31</v>
      </c>
      <c r="F66" s="4" t="s">
        <v>329</v>
      </c>
      <c r="G66" s="4" t="s">
        <v>71</v>
      </c>
      <c r="H66" s="4" t="s">
        <v>41</v>
      </c>
      <c r="I66" s="4" t="s">
        <v>71</v>
      </c>
      <c r="J66" s="4" t="s">
        <v>47</v>
      </c>
      <c r="K66" s="4" t="s">
        <v>34</v>
      </c>
      <c r="L66" s="4" t="s">
        <v>132</v>
      </c>
      <c r="M66" s="4" t="s">
        <v>39</v>
      </c>
      <c r="N66" s="4" t="s">
        <v>355</v>
      </c>
      <c r="O66" s="4">
        <v>8</v>
      </c>
      <c r="P66" s="4" t="s">
        <v>34</v>
      </c>
      <c r="Q66" s="4" t="s">
        <v>42</v>
      </c>
      <c r="R66" s="4" t="s">
        <v>42</v>
      </c>
      <c r="S66" s="4" t="s">
        <v>42</v>
      </c>
      <c r="T66" s="4" t="s">
        <v>42</v>
      </c>
      <c r="U66" s="4" t="s">
        <v>42</v>
      </c>
      <c r="V66" s="4" t="s">
        <v>42</v>
      </c>
      <c r="W66" s="4" t="s">
        <v>42</v>
      </c>
      <c r="X66" s="4" t="s">
        <v>42</v>
      </c>
      <c r="Y66" s="4" t="s">
        <v>43</v>
      </c>
      <c r="Z66" s="4" t="s">
        <v>75</v>
      </c>
      <c r="AA66" s="4" t="s">
        <v>356</v>
      </c>
      <c r="AB66" s="4">
        <v>5</v>
      </c>
    </row>
    <row r="67" spans="1:28" ht="22.5" customHeight="1" x14ac:dyDescent="0.25">
      <c r="A67" s="3">
        <v>46131.643946053242</v>
      </c>
      <c r="B67" s="4" t="s">
        <v>357</v>
      </c>
      <c r="C67" s="4" t="s">
        <v>29</v>
      </c>
      <c r="D67" s="4" t="s">
        <v>204</v>
      </c>
      <c r="E67" s="4" t="s">
        <v>31</v>
      </c>
      <c r="F67" s="4" t="s">
        <v>92</v>
      </c>
      <c r="G67" s="4" t="s">
        <v>71</v>
      </c>
      <c r="H67" s="4" t="s">
        <v>41</v>
      </c>
      <c r="I67" s="4" t="s">
        <v>71</v>
      </c>
      <c r="J67" s="4" t="s">
        <v>60</v>
      </c>
      <c r="K67" s="4" t="s">
        <v>61</v>
      </c>
      <c r="L67" s="4" t="s">
        <v>358</v>
      </c>
      <c r="M67" s="4" t="s">
        <v>39</v>
      </c>
      <c r="N67" s="4" t="s">
        <v>359</v>
      </c>
      <c r="O67" s="4">
        <v>7</v>
      </c>
      <c r="P67" s="4" t="s">
        <v>55</v>
      </c>
      <c r="Q67" s="4" t="s">
        <v>42</v>
      </c>
      <c r="R67" s="4" t="s">
        <v>42</v>
      </c>
      <c r="S67" s="4" t="s">
        <v>42</v>
      </c>
      <c r="T67" s="4" t="s">
        <v>42</v>
      </c>
      <c r="U67" s="4" t="s">
        <v>42</v>
      </c>
      <c r="V67" s="4" t="s">
        <v>42</v>
      </c>
      <c r="W67" s="4" t="s">
        <v>42</v>
      </c>
      <c r="X67" s="4" t="s">
        <v>42</v>
      </c>
      <c r="Y67" s="4" t="s">
        <v>89</v>
      </c>
      <c r="Z67" s="4" t="s">
        <v>71</v>
      </c>
      <c r="AA67" s="4" t="s">
        <v>360</v>
      </c>
      <c r="AB67" s="4">
        <v>7</v>
      </c>
    </row>
    <row r="68" spans="1:28" ht="22.5" customHeight="1" x14ac:dyDescent="0.25">
      <c r="A68" s="3">
        <v>46131.644325497684</v>
      </c>
      <c r="B68" s="4" t="s">
        <v>361</v>
      </c>
      <c r="C68" s="4" t="s">
        <v>29</v>
      </c>
      <c r="D68" s="4" t="s">
        <v>46</v>
      </c>
      <c r="E68" s="4" t="s">
        <v>31</v>
      </c>
      <c r="F68" s="4" t="s">
        <v>154</v>
      </c>
      <c r="G68" s="4" t="s">
        <v>71</v>
      </c>
      <c r="H68" s="4" t="s">
        <v>78</v>
      </c>
      <c r="I68" s="4" t="s">
        <v>71</v>
      </c>
      <c r="J68" s="4" t="s">
        <v>197</v>
      </c>
      <c r="K68" s="4" t="s">
        <v>41</v>
      </c>
      <c r="L68" s="4" t="s">
        <v>362</v>
      </c>
      <c r="M68" s="4" t="s">
        <v>39</v>
      </c>
      <c r="N68" s="4" t="s">
        <v>363</v>
      </c>
      <c r="O68" s="4">
        <v>1</v>
      </c>
      <c r="P68" s="4" t="s">
        <v>37</v>
      </c>
      <c r="Q68" s="4" t="s">
        <v>42</v>
      </c>
      <c r="R68" s="4" t="s">
        <v>34</v>
      </c>
      <c r="S68" s="4" t="s">
        <v>42</v>
      </c>
      <c r="T68" s="4" t="s">
        <v>34</v>
      </c>
      <c r="U68" s="4" t="s">
        <v>34</v>
      </c>
      <c r="V68" s="4" t="s">
        <v>42</v>
      </c>
      <c r="W68" s="4" t="s">
        <v>34</v>
      </c>
      <c r="X68" s="4" t="s">
        <v>42</v>
      </c>
      <c r="Y68" s="4" t="s">
        <v>39</v>
      </c>
      <c r="Z68" s="4" t="s">
        <v>34</v>
      </c>
      <c r="AA68" s="4" t="s">
        <v>364</v>
      </c>
      <c r="AB68" s="4">
        <v>1</v>
      </c>
    </row>
    <row r="69" spans="1:28" ht="22.5" customHeight="1" x14ac:dyDescent="0.25">
      <c r="A69" s="3">
        <v>46131.645718449072</v>
      </c>
      <c r="B69" s="4" t="s">
        <v>365</v>
      </c>
      <c r="C69" s="4" t="s">
        <v>29</v>
      </c>
      <c r="D69" s="4" t="s">
        <v>204</v>
      </c>
      <c r="E69" s="4" t="s">
        <v>31</v>
      </c>
      <c r="F69" s="4" t="s">
        <v>366</v>
      </c>
      <c r="G69" s="4" t="s">
        <v>59</v>
      </c>
      <c r="H69" s="4" t="s">
        <v>78</v>
      </c>
      <c r="I69" s="4" t="s">
        <v>71</v>
      </c>
      <c r="J69" s="4" t="s">
        <v>36</v>
      </c>
      <c r="K69" s="4" t="s">
        <v>34</v>
      </c>
      <c r="L69" s="4" t="s">
        <v>367</v>
      </c>
      <c r="M69" s="4" t="s">
        <v>39</v>
      </c>
      <c r="N69" s="4" t="s">
        <v>368</v>
      </c>
      <c r="O69" s="4">
        <v>10</v>
      </c>
      <c r="P69" s="4" t="s">
        <v>369</v>
      </c>
      <c r="Q69" s="4" t="s">
        <v>42</v>
      </c>
      <c r="R69" s="4" t="s">
        <v>34</v>
      </c>
      <c r="S69" s="4" t="s">
        <v>42</v>
      </c>
      <c r="T69" s="4" t="s">
        <v>34</v>
      </c>
      <c r="U69" s="4" t="s">
        <v>42</v>
      </c>
      <c r="V69" s="4" t="s">
        <v>42</v>
      </c>
      <c r="W69" s="4" t="s">
        <v>34</v>
      </c>
      <c r="X69" s="4" t="s">
        <v>42</v>
      </c>
      <c r="Y69" s="4" t="s">
        <v>39</v>
      </c>
      <c r="Z69" s="4" t="s">
        <v>34</v>
      </c>
      <c r="AA69" s="4" t="s">
        <v>370</v>
      </c>
      <c r="AB69" s="4">
        <v>5</v>
      </c>
    </row>
    <row r="70" spans="1:28" ht="22.5" customHeight="1" x14ac:dyDescent="0.25">
      <c r="A70" s="3">
        <v>46131.646439004631</v>
      </c>
      <c r="B70" s="4" t="s">
        <v>371</v>
      </c>
      <c r="C70" s="4" t="s">
        <v>29</v>
      </c>
      <c r="D70" s="4" t="s">
        <v>46</v>
      </c>
      <c r="E70" s="4" t="s">
        <v>31</v>
      </c>
      <c r="F70" s="4" t="s">
        <v>34</v>
      </c>
      <c r="G70" s="4" t="s">
        <v>66</v>
      </c>
      <c r="H70" s="4" t="s">
        <v>34</v>
      </c>
      <c r="I70" s="4" t="s">
        <v>34</v>
      </c>
      <c r="J70" s="4" t="s">
        <v>60</v>
      </c>
      <c r="K70" s="4" t="s">
        <v>34</v>
      </c>
      <c r="L70" s="4" t="s">
        <v>372</v>
      </c>
      <c r="M70" s="4" t="s">
        <v>43</v>
      </c>
      <c r="N70" s="4" t="s">
        <v>373</v>
      </c>
      <c r="O70" s="4">
        <v>8</v>
      </c>
      <c r="P70" s="4" t="s">
        <v>41</v>
      </c>
      <c r="Q70" s="4" t="s">
        <v>42</v>
      </c>
      <c r="R70" s="4" t="s">
        <v>42</v>
      </c>
      <c r="S70" s="4" t="s">
        <v>34</v>
      </c>
      <c r="T70" s="4" t="s">
        <v>34</v>
      </c>
      <c r="U70" s="4" t="s">
        <v>34</v>
      </c>
      <c r="V70" s="4" t="s">
        <v>34</v>
      </c>
      <c r="W70" s="4" t="s">
        <v>37</v>
      </c>
      <c r="X70" s="4" t="s">
        <v>37</v>
      </c>
      <c r="Y70" s="4" t="s">
        <v>39</v>
      </c>
      <c r="Z70" s="4" t="s">
        <v>34</v>
      </c>
      <c r="AA70" s="4" t="s">
        <v>374</v>
      </c>
      <c r="AB70" s="4">
        <v>6</v>
      </c>
    </row>
    <row r="71" spans="1:28" ht="22.5" customHeight="1" x14ac:dyDescent="0.25">
      <c r="A71" s="3">
        <v>46131.647330868058</v>
      </c>
      <c r="B71" s="4" t="s">
        <v>375</v>
      </c>
      <c r="C71" s="4" t="s">
        <v>29</v>
      </c>
      <c r="D71" s="4" t="s">
        <v>46</v>
      </c>
      <c r="E71" s="4" t="s">
        <v>31</v>
      </c>
      <c r="F71" s="4" t="s">
        <v>191</v>
      </c>
      <c r="G71" s="4" t="s">
        <v>34</v>
      </c>
      <c r="H71" s="4" t="s">
        <v>34</v>
      </c>
      <c r="I71" s="4" t="s">
        <v>34</v>
      </c>
      <c r="J71" s="4" t="s">
        <v>72</v>
      </c>
      <c r="K71" s="4" t="s">
        <v>37</v>
      </c>
      <c r="L71" s="4" t="s">
        <v>376</v>
      </c>
      <c r="M71" s="4" t="s">
        <v>39</v>
      </c>
      <c r="N71" s="4" t="s">
        <v>377</v>
      </c>
      <c r="O71" s="4">
        <v>7</v>
      </c>
      <c r="P71" s="4" t="s">
        <v>37</v>
      </c>
      <c r="Q71" s="4" t="s">
        <v>34</v>
      </c>
      <c r="R71" s="4" t="s">
        <v>34</v>
      </c>
      <c r="S71" s="4" t="s">
        <v>34</v>
      </c>
      <c r="T71" s="4" t="s">
        <v>34</v>
      </c>
      <c r="U71" s="4" t="s">
        <v>34</v>
      </c>
      <c r="V71" s="4" t="s">
        <v>34</v>
      </c>
      <c r="W71" s="4" t="s">
        <v>34</v>
      </c>
      <c r="X71" s="4" t="s">
        <v>34</v>
      </c>
      <c r="Y71" s="4" t="s">
        <v>43</v>
      </c>
      <c r="Z71" s="4" t="s">
        <v>75</v>
      </c>
      <c r="AA71" s="4" t="s">
        <v>378</v>
      </c>
      <c r="AB71" s="4">
        <v>4</v>
      </c>
    </row>
    <row r="72" spans="1:28" ht="22.5" customHeight="1" x14ac:dyDescent="0.25">
      <c r="A72" s="3">
        <v>46131.647854756942</v>
      </c>
      <c r="B72" s="4" t="s">
        <v>379</v>
      </c>
      <c r="C72" s="4" t="s">
        <v>29</v>
      </c>
      <c r="D72" s="4" t="s">
        <v>46</v>
      </c>
      <c r="E72" s="4" t="s">
        <v>31</v>
      </c>
      <c r="F72" s="4" t="s">
        <v>34</v>
      </c>
      <c r="G72" s="4" t="s">
        <v>34</v>
      </c>
      <c r="H72" s="4" t="s">
        <v>34</v>
      </c>
      <c r="I72" s="4" t="s">
        <v>34</v>
      </c>
      <c r="J72" s="4" t="s">
        <v>60</v>
      </c>
      <c r="K72" s="4" t="s">
        <v>34</v>
      </c>
      <c r="L72" s="4" t="s">
        <v>380</v>
      </c>
      <c r="M72" s="4" t="s">
        <v>39</v>
      </c>
      <c r="N72" s="4" t="s">
        <v>381</v>
      </c>
      <c r="O72" s="4">
        <v>7</v>
      </c>
      <c r="P72" s="4" t="s">
        <v>37</v>
      </c>
      <c r="Q72" s="4" t="s">
        <v>34</v>
      </c>
      <c r="R72" s="4" t="s">
        <v>34</v>
      </c>
      <c r="S72" s="4" t="s">
        <v>42</v>
      </c>
      <c r="T72" s="4" t="s">
        <v>34</v>
      </c>
      <c r="U72" s="4" t="s">
        <v>34</v>
      </c>
      <c r="V72" s="4" t="s">
        <v>42</v>
      </c>
      <c r="W72" s="4" t="s">
        <v>34</v>
      </c>
      <c r="X72" s="4" t="s">
        <v>37</v>
      </c>
      <c r="Y72" s="4" t="s">
        <v>39</v>
      </c>
      <c r="Z72" s="4" t="s">
        <v>34</v>
      </c>
      <c r="AA72" s="4" t="s">
        <v>382</v>
      </c>
      <c r="AB72" s="4">
        <v>8</v>
      </c>
    </row>
    <row r="73" spans="1:28" ht="22.5" customHeight="1" x14ac:dyDescent="0.25">
      <c r="A73" s="3">
        <v>46131.650925567126</v>
      </c>
      <c r="B73" s="4" t="s">
        <v>383</v>
      </c>
      <c r="C73" s="4" t="s">
        <v>29</v>
      </c>
      <c r="D73" s="4" t="s">
        <v>46</v>
      </c>
      <c r="E73" s="4" t="s">
        <v>31</v>
      </c>
      <c r="F73" s="4" t="s">
        <v>384</v>
      </c>
      <c r="G73" s="4" t="s">
        <v>66</v>
      </c>
      <c r="H73" s="4" t="s">
        <v>148</v>
      </c>
      <c r="I73" s="4" t="s">
        <v>37</v>
      </c>
      <c r="J73" s="4" t="s">
        <v>60</v>
      </c>
      <c r="K73" s="4" t="s">
        <v>41</v>
      </c>
      <c r="L73" s="4" t="s">
        <v>385</v>
      </c>
      <c r="M73" s="4" t="s">
        <v>39</v>
      </c>
      <c r="N73" s="4" t="s">
        <v>386</v>
      </c>
      <c r="O73" s="4">
        <v>10</v>
      </c>
      <c r="P73" s="4" t="s">
        <v>41</v>
      </c>
      <c r="Q73" s="4" t="s">
        <v>37</v>
      </c>
      <c r="R73" s="4" t="s">
        <v>37</v>
      </c>
      <c r="S73" s="4" t="s">
        <v>42</v>
      </c>
      <c r="T73" s="4" t="s">
        <v>37</v>
      </c>
      <c r="U73" s="4" t="s">
        <v>37</v>
      </c>
      <c r="V73" s="4" t="s">
        <v>42</v>
      </c>
      <c r="W73" s="4" t="s">
        <v>42</v>
      </c>
      <c r="X73" s="4" t="s">
        <v>55</v>
      </c>
      <c r="Y73" s="4" t="s">
        <v>43</v>
      </c>
      <c r="Z73" s="4" t="s">
        <v>34</v>
      </c>
      <c r="AA73" s="4" t="s">
        <v>387</v>
      </c>
      <c r="AB73" s="4">
        <v>5</v>
      </c>
    </row>
    <row r="74" spans="1:28" ht="22.5" customHeight="1" x14ac:dyDescent="0.25">
      <c r="A74" s="3">
        <v>46131.651113981483</v>
      </c>
      <c r="B74" s="4" t="s">
        <v>388</v>
      </c>
      <c r="C74" s="4" t="s">
        <v>29</v>
      </c>
      <c r="D74" s="4" t="s">
        <v>204</v>
      </c>
      <c r="E74" s="4" t="s">
        <v>389</v>
      </c>
      <c r="F74" s="4" t="s">
        <v>390</v>
      </c>
      <c r="G74" s="4" t="s">
        <v>391</v>
      </c>
      <c r="H74" s="4" t="s">
        <v>391</v>
      </c>
      <c r="I74" s="4" t="s">
        <v>55</v>
      </c>
      <c r="J74" s="4" t="s">
        <v>72</v>
      </c>
      <c r="K74" s="4" t="s">
        <v>37</v>
      </c>
      <c r="L74" s="4" t="s">
        <v>392</v>
      </c>
      <c r="M74" s="4" t="s">
        <v>39</v>
      </c>
      <c r="N74" s="4" t="s">
        <v>393</v>
      </c>
      <c r="O74" s="4">
        <v>7</v>
      </c>
      <c r="P74" s="4" t="s">
        <v>394</v>
      </c>
      <c r="Q74" s="4" t="s">
        <v>55</v>
      </c>
      <c r="R74" s="4" t="s">
        <v>55</v>
      </c>
      <c r="S74" s="4" t="s">
        <v>55</v>
      </c>
      <c r="T74" s="4" t="s">
        <v>37</v>
      </c>
      <c r="U74" s="4" t="s">
        <v>55</v>
      </c>
      <c r="V74" s="4" t="s">
        <v>55</v>
      </c>
      <c r="W74" s="4" t="s">
        <v>55</v>
      </c>
      <c r="X74" s="4" t="s">
        <v>55</v>
      </c>
      <c r="Y74" s="4" t="s">
        <v>43</v>
      </c>
      <c r="Z74" s="4" t="s">
        <v>75</v>
      </c>
      <c r="AA74" s="4" t="s">
        <v>395</v>
      </c>
      <c r="AB74" s="4">
        <v>6</v>
      </c>
    </row>
    <row r="75" spans="1:28" ht="22.5" customHeight="1" x14ac:dyDescent="0.25">
      <c r="A75" s="3">
        <v>46131.654073460653</v>
      </c>
      <c r="B75" s="4" t="s">
        <v>396</v>
      </c>
      <c r="C75" s="4" t="s">
        <v>29</v>
      </c>
      <c r="D75" s="4" t="s">
        <v>204</v>
      </c>
      <c r="E75" s="4" t="s">
        <v>31</v>
      </c>
      <c r="F75" s="4" t="s">
        <v>221</v>
      </c>
      <c r="G75" s="4" t="s">
        <v>66</v>
      </c>
      <c r="H75" s="4" t="s">
        <v>148</v>
      </c>
      <c r="I75" s="4" t="s">
        <v>71</v>
      </c>
      <c r="J75" s="4" t="s">
        <v>60</v>
      </c>
      <c r="K75" s="4" t="s">
        <v>37</v>
      </c>
      <c r="L75" s="4" t="s">
        <v>397</v>
      </c>
      <c r="M75" s="4" t="s">
        <v>43</v>
      </c>
      <c r="N75" s="4" t="s">
        <v>398</v>
      </c>
      <c r="O75" s="4">
        <v>3</v>
      </c>
      <c r="P75" s="4" t="s">
        <v>399</v>
      </c>
      <c r="Q75" s="4" t="s">
        <v>42</v>
      </c>
      <c r="R75" s="4" t="s">
        <v>42</v>
      </c>
      <c r="S75" s="4" t="s">
        <v>42</v>
      </c>
      <c r="T75" s="4" t="s">
        <v>42</v>
      </c>
      <c r="U75" s="4" t="s">
        <v>42</v>
      </c>
      <c r="V75" s="4" t="s">
        <v>42</v>
      </c>
      <c r="W75" s="4" t="s">
        <v>42</v>
      </c>
      <c r="X75" s="4" t="s">
        <v>37</v>
      </c>
      <c r="Y75" s="4" t="s">
        <v>43</v>
      </c>
      <c r="Z75" s="4" t="s">
        <v>75</v>
      </c>
      <c r="AA75" s="4" t="s">
        <v>400</v>
      </c>
      <c r="AB75" s="4">
        <v>1</v>
      </c>
    </row>
    <row r="76" spans="1:28" ht="22.5" customHeight="1" x14ac:dyDescent="0.25">
      <c r="A76" s="3">
        <v>46131.654563159726</v>
      </c>
      <c r="B76" s="4" t="s">
        <v>401</v>
      </c>
      <c r="C76" s="4" t="s">
        <v>29</v>
      </c>
      <c r="D76" s="4" t="s">
        <v>46</v>
      </c>
      <c r="E76" s="4" t="s">
        <v>31</v>
      </c>
      <c r="F76" s="4" t="s">
        <v>154</v>
      </c>
      <c r="G76" s="4" t="s">
        <v>85</v>
      </c>
      <c r="H76" s="4" t="s">
        <v>161</v>
      </c>
      <c r="I76" s="4" t="s">
        <v>71</v>
      </c>
      <c r="J76" s="4" t="s">
        <v>60</v>
      </c>
      <c r="K76" s="4" t="s">
        <v>61</v>
      </c>
      <c r="L76" s="4" t="s">
        <v>402</v>
      </c>
      <c r="M76" s="4" t="s">
        <v>39</v>
      </c>
      <c r="N76" s="4" t="s">
        <v>402</v>
      </c>
      <c r="O76" s="4">
        <v>10</v>
      </c>
      <c r="P76" s="4" t="s">
        <v>55</v>
      </c>
      <c r="Q76" s="4" t="s">
        <v>55</v>
      </c>
      <c r="R76" s="4" t="s">
        <v>42</v>
      </c>
      <c r="S76" s="4" t="s">
        <v>34</v>
      </c>
      <c r="T76" s="4" t="s">
        <v>55</v>
      </c>
      <c r="U76" s="4" t="s">
        <v>55</v>
      </c>
      <c r="V76" s="4" t="s">
        <v>55</v>
      </c>
      <c r="W76" s="4" t="s">
        <v>42</v>
      </c>
      <c r="X76" s="4" t="s">
        <v>37</v>
      </c>
      <c r="Y76" s="4" t="s">
        <v>89</v>
      </c>
      <c r="Z76" s="4" t="s">
        <v>34</v>
      </c>
      <c r="AA76" s="4" t="s">
        <v>403</v>
      </c>
      <c r="AB76" s="4">
        <v>6</v>
      </c>
    </row>
    <row r="77" spans="1:28" ht="22.5" customHeight="1" x14ac:dyDescent="0.25">
      <c r="A77" s="3">
        <v>46131.655087141204</v>
      </c>
      <c r="B77" s="4" t="s">
        <v>404</v>
      </c>
      <c r="C77" s="4" t="s">
        <v>29</v>
      </c>
      <c r="D77" s="4" t="s">
        <v>46</v>
      </c>
      <c r="E77" s="4" t="s">
        <v>31</v>
      </c>
      <c r="F77" s="4" t="s">
        <v>405</v>
      </c>
      <c r="G77" s="4" t="s">
        <v>37</v>
      </c>
      <c r="H77" s="4" t="s">
        <v>37</v>
      </c>
      <c r="I77" s="4" t="s">
        <v>37</v>
      </c>
      <c r="J77" s="4" t="s">
        <v>72</v>
      </c>
      <c r="K77" s="4" t="s">
        <v>41</v>
      </c>
      <c r="L77" s="4" t="s">
        <v>406</v>
      </c>
      <c r="M77" s="4" t="s">
        <v>39</v>
      </c>
      <c r="N77" s="4" t="s">
        <v>407</v>
      </c>
      <c r="O77" s="4">
        <v>9</v>
      </c>
      <c r="P77" s="4" t="s">
        <v>41</v>
      </c>
      <c r="Q77" s="4" t="s">
        <v>34</v>
      </c>
      <c r="R77" s="4" t="s">
        <v>42</v>
      </c>
      <c r="S77" s="4" t="s">
        <v>34</v>
      </c>
      <c r="T77" s="4" t="s">
        <v>37</v>
      </c>
      <c r="U77" s="4" t="s">
        <v>37</v>
      </c>
      <c r="V77" s="4" t="s">
        <v>37</v>
      </c>
      <c r="W77" s="4" t="s">
        <v>37</v>
      </c>
      <c r="X77" s="4" t="s">
        <v>37</v>
      </c>
      <c r="Y77" s="4" t="s">
        <v>43</v>
      </c>
      <c r="Z77" s="4" t="s">
        <v>75</v>
      </c>
      <c r="AA77" s="4" t="s">
        <v>408</v>
      </c>
      <c r="AB77" s="4">
        <v>4</v>
      </c>
    </row>
    <row r="78" spans="1:28" ht="22.5" customHeight="1" x14ac:dyDescent="0.25">
      <c r="A78" s="3">
        <v>46131.655392615736</v>
      </c>
      <c r="B78" s="4" t="s">
        <v>409</v>
      </c>
      <c r="C78" s="4" t="s">
        <v>29</v>
      </c>
      <c r="D78" s="4" t="s">
        <v>46</v>
      </c>
      <c r="E78" s="4" t="s">
        <v>31</v>
      </c>
      <c r="F78" s="4" t="s">
        <v>92</v>
      </c>
      <c r="G78" s="4" t="s">
        <v>105</v>
      </c>
      <c r="H78" s="4" t="s">
        <v>86</v>
      </c>
      <c r="I78" s="4" t="s">
        <v>71</v>
      </c>
      <c r="J78" s="4" t="s">
        <v>60</v>
      </c>
      <c r="K78" s="4" t="s">
        <v>41</v>
      </c>
      <c r="L78" s="4" t="s">
        <v>410</v>
      </c>
      <c r="M78" s="4" t="s">
        <v>39</v>
      </c>
      <c r="N78" s="4" t="s">
        <v>411</v>
      </c>
      <c r="O78" s="4">
        <v>10</v>
      </c>
      <c r="P78" s="4" t="s">
        <v>55</v>
      </c>
      <c r="Q78" s="4" t="s">
        <v>42</v>
      </c>
      <c r="R78" s="4" t="s">
        <v>37</v>
      </c>
      <c r="S78" s="4" t="s">
        <v>37</v>
      </c>
      <c r="T78" s="4" t="s">
        <v>42</v>
      </c>
      <c r="U78" s="4" t="s">
        <v>37</v>
      </c>
      <c r="V78" s="4" t="s">
        <v>37</v>
      </c>
      <c r="W78" s="4" t="s">
        <v>37</v>
      </c>
      <c r="X78" s="4" t="s">
        <v>37</v>
      </c>
      <c r="Y78" s="4" t="s">
        <v>43</v>
      </c>
      <c r="Z78" s="4" t="s">
        <v>34</v>
      </c>
      <c r="AA78" s="4" t="s">
        <v>412</v>
      </c>
      <c r="AB78" s="4">
        <v>6</v>
      </c>
    </row>
    <row r="79" spans="1:28" ht="22.5" customHeight="1" x14ac:dyDescent="0.25">
      <c r="A79" s="3">
        <v>46131.656410821757</v>
      </c>
      <c r="B79" s="4" t="s">
        <v>413</v>
      </c>
      <c r="C79" s="4" t="s">
        <v>84</v>
      </c>
      <c r="D79" s="4" t="s">
        <v>46</v>
      </c>
      <c r="E79" s="4" t="s">
        <v>31</v>
      </c>
      <c r="F79" s="4" t="s">
        <v>414</v>
      </c>
      <c r="G79" s="4" t="s">
        <v>71</v>
      </c>
      <c r="H79" s="4" t="s">
        <v>41</v>
      </c>
      <c r="I79" s="4" t="s">
        <v>71</v>
      </c>
      <c r="J79" s="4" t="s">
        <v>47</v>
      </c>
      <c r="K79" s="4" t="s">
        <v>41</v>
      </c>
      <c r="L79" s="4" t="s">
        <v>156</v>
      </c>
      <c r="M79" s="4" t="s">
        <v>39</v>
      </c>
      <c r="N79" s="4" t="s">
        <v>297</v>
      </c>
      <c r="O79" s="4">
        <v>7</v>
      </c>
      <c r="P79" s="4" t="s">
        <v>41</v>
      </c>
      <c r="Q79" s="4" t="s">
        <v>42</v>
      </c>
      <c r="R79" s="4" t="s">
        <v>42</v>
      </c>
      <c r="S79" s="4" t="s">
        <v>42</v>
      </c>
      <c r="T79" s="4" t="s">
        <v>42</v>
      </c>
      <c r="U79" s="4" t="s">
        <v>42</v>
      </c>
      <c r="V79" s="4" t="s">
        <v>42</v>
      </c>
      <c r="W79" s="4" t="s">
        <v>42</v>
      </c>
      <c r="X79" s="4" t="s">
        <v>42</v>
      </c>
      <c r="Y79" s="4" t="s">
        <v>39</v>
      </c>
      <c r="Z79" s="4" t="s">
        <v>71</v>
      </c>
      <c r="AA79" s="4" t="s">
        <v>415</v>
      </c>
      <c r="AB79" s="4">
        <v>5</v>
      </c>
    </row>
    <row r="80" spans="1:28" ht="22.5" customHeight="1" x14ac:dyDescent="0.25">
      <c r="A80" s="3">
        <v>46131.658636932872</v>
      </c>
      <c r="B80" s="4" t="s">
        <v>416</v>
      </c>
      <c r="C80" s="4" t="s">
        <v>29</v>
      </c>
      <c r="D80" s="4" t="s">
        <v>46</v>
      </c>
      <c r="E80" s="4" t="s">
        <v>31</v>
      </c>
      <c r="F80" s="4" t="s">
        <v>41</v>
      </c>
      <c r="G80" s="4" t="s">
        <v>120</v>
      </c>
      <c r="H80" s="4" t="s">
        <v>41</v>
      </c>
      <c r="I80" s="4" t="s">
        <v>71</v>
      </c>
      <c r="J80" s="4" t="s">
        <v>197</v>
      </c>
      <c r="K80" s="4" t="s">
        <v>41</v>
      </c>
      <c r="L80" s="4" t="s">
        <v>417</v>
      </c>
      <c r="M80" s="4" t="s">
        <v>39</v>
      </c>
      <c r="N80" s="4" t="s">
        <v>418</v>
      </c>
      <c r="O80" s="4">
        <v>8</v>
      </c>
      <c r="P80" s="4" t="s">
        <v>34</v>
      </c>
      <c r="Q80" s="4" t="s">
        <v>42</v>
      </c>
      <c r="R80" s="4" t="s">
        <v>42</v>
      </c>
      <c r="S80" s="4" t="s">
        <v>42</v>
      </c>
      <c r="T80" s="4" t="s">
        <v>42</v>
      </c>
      <c r="U80" s="4" t="s">
        <v>42</v>
      </c>
      <c r="V80" s="4" t="s">
        <v>42</v>
      </c>
      <c r="W80" s="4" t="s">
        <v>42</v>
      </c>
      <c r="X80" s="4" t="s">
        <v>42</v>
      </c>
      <c r="Y80" s="4" t="s">
        <v>43</v>
      </c>
      <c r="Z80" s="4" t="s">
        <v>34</v>
      </c>
      <c r="AA80" s="4" t="s">
        <v>419</v>
      </c>
      <c r="AB80" s="4">
        <v>8</v>
      </c>
    </row>
    <row r="81" spans="1:28" ht="22.5" customHeight="1" x14ac:dyDescent="0.25">
      <c r="A81" s="3">
        <v>46131.65949179398</v>
      </c>
      <c r="B81" s="4" t="s">
        <v>420</v>
      </c>
      <c r="C81" s="4" t="s">
        <v>84</v>
      </c>
      <c r="D81" s="4" t="s">
        <v>204</v>
      </c>
      <c r="E81" s="4" t="s">
        <v>31</v>
      </c>
      <c r="F81" s="4" t="s">
        <v>55</v>
      </c>
      <c r="G81" s="4" t="s">
        <v>421</v>
      </c>
      <c r="H81" s="4" t="s">
        <v>55</v>
      </c>
      <c r="I81" s="4" t="s">
        <v>55</v>
      </c>
      <c r="J81" s="4" t="s">
        <v>47</v>
      </c>
      <c r="K81" s="4" t="s">
        <v>34</v>
      </c>
      <c r="L81" s="4" t="s">
        <v>422</v>
      </c>
      <c r="M81" s="4" t="s">
        <v>39</v>
      </c>
      <c r="N81" s="4" t="s">
        <v>423</v>
      </c>
      <c r="O81" s="4">
        <v>7</v>
      </c>
      <c r="P81" s="4" t="s">
        <v>41</v>
      </c>
      <c r="Q81" s="4" t="s">
        <v>42</v>
      </c>
      <c r="R81" s="4" t="s">
        <v>37</v>
      </c>
      <c r="S81" s="4" t="s">
        <v>37</v>
      </c>
      <c r="T81" s="4" t="s">
        <v>55</v>
      </c>
      <c r="U81" s="4" t="s">
        <v>55</v>
      </c>
      <c r="V81" s="4" t="s">
        <v>55</v>
      </c>
      <c r="W81" s="4" t="s">
        <v>37</v>
      </c>
      <c r="X81" s="4" t="s">
        <v>42</v>
      </c>
      <c r="Y81" s="4" t="s">
        <v>43</v>
      </c>
      <c r="Z81" s="4" t="s">
        <v>75</v>
      </c>
      <c r="AA81" s="4" t="s">
        <v>424</v>
      </c>
      <c r="AB81" s="4">
        <v>5</v>
      </c>
    </row>
    <row r="82" spans="1:28" ht="22.5" customHeight="1" x14ac:dyDescent="0.25">
      <c r="A82" s="3">
        <v>46131.663583252317</v>
      </c>
      <c r="B82" s="4" t="s">
        <v>425</v>
      </c>
      <c r="C82" s="4" t="s">
        <v>29</v>
      </c>
      <c r="D82" s="4" t="s">
        <v>46</v>
      </c>
      <c r="E82" s="4" t="s">
        <v>426</v>
      </c>
      <c r="F82" s="4" t="s">
        <v>427</v>
      </c>
      <c r="G82" s="4" t="s">
        <v>55</v>
      </c>
      <c r="H82" s="4" t="s">
        <v>136</v>
      </c>
      <c r="I82" s="4" t="s">
        <v>55</v>
      </c>
      <c r="J82" s="4" t="s">
        <v>60</v>
      </c>
      <c r="K82" s="4" t="s">
        <v>34</v>
      </c>
      <c r="L82" s="4" t="s">
        <v>428</v>
      </c>
      <c r="M82" s="4" t="s">
        <v>39</v>
      </c>
      <c r="N82" s="4" t="s">
        <v>429</v>
      </c>
      <c r="O82" s="4">
        <v>10</v>
      </c>
      <c r="P82" s="4" t="s">
        <v>427</v>
      </c>
      <c r="Q82" s="4" t="s">
        <v>55</v>
      </c>
      <c r="R82" s="4" t="s">
        <v>55</v>
      </c>
      <c r="S82" s="4" t="s">
        <v>42</v>
      </c>
      <c r="T82" s="4" t="s">
        <v>55</v>
      </c>
      <c r="U82" s="4" t="s">
        <v>55</v>
      </c>
      <c r="V82" s="4" t="s">
        <v>42</v>
      </c>
      <c r="W82" s="4" t="s">
        <v>55</v>
      </c>
      <c r="X82" s="4" t="s">
        <v>55</v>
      </c>
      <c r="Y82" s="4" t="s">
        <v>43</v>
      </c>
      <c r="Z82" s="4" t="s">
        <v>75</v>
      </c>
      <c r="AA82" s="4" t="s">
        <v>97</v>
      </c>
      <c r="AB82" s="4">
        <v>5</v>
      </c>
    </row>
    <row r="83" spans="1:28" ht="22.5" customHeight="1" x14ac:dyDescent="0.25">
      <c r="A83" s="3">
        <v>46131.664089594909</v>
      </c>
      <c r="B83" s="4" t="s">
        <v>430</v>
      </c>
      <c r="C83" s="4" t="s">
        <v>29</v>
      </c>
      <c r="D83" s="4" t="s">
        <v>46</v>
      </c>
      <c r="E83" s="4" t="s">
        <v>31</v>
      </c>
      <c r="F83" s="4" t="s">
        <v>34</v>
      </c>
      <c r="G83" s="4" t="s">
        <v>142</v>
      </c>
      <c r="H83" s="4" t="s">
        <v>142</v>
      </c>
      <c r="I83" s="4" t="s">
        <v>34</v>
      </c>
      <c r="J83" s="4" t="s">
        <v>36</v>
      </c>
      <c r="K83" s="4" t="s">
        <v>41</v>
      </c>
      <c r="L83" s="4" t="s">
        <v>431</v>
      </c>
      <c r="M83" s="4" t="s">
        <v>39</v>
      </c>
      <c r="N83" s="4" t="s">
        <v>432</v>
      </c>
      <c r="O83" s="4">
        <v>10</v>
      </c>
      <c r="P83" s="4" t="s">
        <v>37</v>
      </c>
      <c r="Q83" s="4" t="s">
        <v>37</v>
      </c>
      <c r="R83" s="4" t="s">
        <v>37</v>
      </c>
      <c r="S83" s="4" t="s">
        <v>42</v>
      </c>
      <c r="T83" s="4" t="s">
        <v>37</v>
      </c>
      <c r="U83" s="4" t="s">
        <v>34</v>
      </c>
      <c r="V83" s="4" t="s">
        <v>37</v>
      </c>
      <c r="W83" s="4" t="s">
        <v>34</v>
      </c>
      <c r="X83" s="4" t="s">
        <v>37</v>
      </c>
      <c r="Y83" s="4" t="s">
        <v>39</v>
      </c>
      <c r="Z83" s="4" t="s">
        <v>34</v>
      </c>
      <c r="AA83" s="4" t="s">
        <v>433</v>
      </c>
      <c r="AB83" s="4">
        <v>4</v>
      </c>
    </row>
    <row r="84" spans="1:28" ht="22.5" customHeight="1" x14ac:dyDescent="0.25">
      <c r="A84" s="3">
        <v>46131.668042303238</v>
      </c>
      <c r="B84" s="4" t="s">
        <v>434</v>
      </c>
      <c r="C84" s="4" t="s">
        <v>29</v>
      </c>
      <c r="D84" s="4" t="s">
        <v>46</v>
      </c>
      <c r="E84" s="4" t="s">
        <v>435</v>
      </c>
      <c r="F84" s="4" t="s">
        <v>71</v>
      </c>
      <c r="G84" s="4" t="s">
        <v>71</v>
      </c>
      <c r="H84" s="4" t="s">
        <v>41</v>
      </c>
      <c r="I84" s="4" t="s">
        <v>71</v>
      </c>
      <c r="J84" s="4" t="s">
        <v>72</v>
      </c>
      <c r="K84" s="4" t="s">
        <v>34</v>
      </c>
      <c r="L84" s="4" t="s">
        <v>156</v>
      </c>
      <c r="M84" s="4" t="s">
        <v>39</v>
      </c>
      <c r="N84" s="4" t="s">
        <v>156</v>
      </c>
      <c r="O84" s="4">
        <v>10</v>
      </c>
      <c r="P84" s="4" t="s">
        <v>34</v>
      </c>
      <c r="Q84" s="4" t="s">
        <v>42</v>
      </c>
      <c r="R84" s="4" t="s">
        <v>42</v>
      </c>
      <c r="S84" s="4" t="s">
        <v>42</v>
      </c>
      <c r="T84" s="4" t="s">
        <v>42</v>
      </c>
      <c r="U84" s="4" t="s">
        <v>42</v>
      </c>
      <c r="V84" s="4" t="s">
        <v>42</v>
      </c>
      <c r="W84" s="4" t="s">
        <v>42</v>
      </c>
      <c r="X84" s="4" t="s">
        <v>37</v>
      </c>
      <c r="Y84" s="4" t="s">
        <v>43</v>
      </c>
      <c r="Z84" s="4" t="s">
        <v>75</v>
      </c>
      <c r="AA84" s="4" t="s">
        <v>436</v>
      </c>
      <c r="AB84" s="4">
        <v>1</v>
      </c>
    </row>
    <row r="85" spans="1:28" ht="22.5" customHeight="1" x14ac:dyDescent="0.25">
      <c r="A85" s="3">
        <v>46131.672138425929</v>
      </c>
      <c r="B85" s="4" t="s">
        <v>437</v>
      </c>
      <c r="C85" s="4" t="s">
        <v>29</v>
      </c>
      <c r="D85" s="4" t="s">
        <v>204</v>
      </c>
      <c r="E85" s="4" t="s">
        <v>31</v>
      </c>
      <c r="F85" s="4" t="s">
        <v>34</v>
      </c>
      <c r="G85" s="4" t="s">
        <v>127</v>
      </c>
      <c r="H85" s="4" t="s">
        <v>78</v>
      </c>
      <c r="I85" s="4" t="s">
        <v>71</v>
      </c>
      <c r="J85" s="4" t="s">
        <v>197</v>
      </c>
      <c r="K85" s="4" t="s">
        <v>34</v>
      </c>
      <c r="L85" s="4" t="s">
        <v>438</v>
      </c>
      <c r="M85" s="4" t="s">
        <v>39</v>
      </c>
      <c r="N85" s="4" t="s">
        <v>439</v>
      </c>
      <c r="O85" s="4">
        <v>8</v>
      </c>
      <c r="P85" s="4" t="s">
        <v>34</v>
      </c>
      <c r="Q85" s="4" t="s">
        <v>42</v>
      </c>
      <c r="R85" s="4" t="s">
        <v>42</v>
      </c>
      <c r="S85" s="4" t="s">
        <v>42</v>
      </c>
      <c r="T85" s="4" t="s">
        <v>42</v>
      </c>
      <c r="U85" s="4" t="s">
        <v>42</v>
      </c>
      <c r="V85" s="4" t="s">
        <v>42</v>
      </c>
      <c r="W85" s="4" t="s">
        <v>42</v>
      </c>
      <c r="Y85" s="4" t="s">
        <v>43</v>
      </c>
      <c r="Z85" s="4" t="s">
        <v>75</v>
      </c>
      <c r="AA85" s="4" t="s">
        <v>440</v>
      </c>
      <c r="AB85" s="4">
        <v>5</v>
      </c>
    </row>
    <row r="86" spans="1:28" ht="22.5" customHeight="1" x14ac:dyDescent="0.25">
      <c r="A86" s="3">
        <v>46131.673669386575</v>
      </c>
      <c r="B86" s="4" t="s">
        <v>441</v>
      </c>
      <c r="C86" s="4" t="s">
        <v>84</v>
      </c>
      <c r="D86" s="4" t="s">
        <v>46</v>
      </c>
      <c r="E86" s="4" t="s">
        <v>31</v>
      </c>
      <c r="F86" s="4" t="s">
        <v>71</v>
      </c>
      <c r="G86" s="4" t="s">
        <v>391</v>
      </c>
      <c r="H86" s="4" t="s">
        <v>37</v>
      </c>
      <c r="I86" s="4" t="s">
        <v>37</v>
      </c>
      <c r="J86" s="4" t="s">
        <v>60</v>
      </c>
      <c r="K86" s="4" t="s">
        <v>41</v>
      </c>
      <c r="L86" s="4" t="s">
        <v>442</v>
      </c>
      <c r="M86" s="4" t="s">
        <v>39</v>
      </c>
      <c r="N86" s="4" t="s">
        <v>187</v>
      </c>
      <c r="O86" s="4">
        <v>8</v>
      </c>
      <c r="P86" s="4" t="s">
        <v>41</v>
      </c>
      <c r="Q86" s="4" t="s">
        <v>42</v>
      </c>
      <c r="R86" s="4" t="s">
        <v>42</v>
      </c>
      <c r="S86" s="4" t="s">
        <v>42</v>
      </c>
      <c r="T86" s="4" t="s">
        <v>42</v>
      </c>
      <c r="U86" s="4" t="s">
        <v>42</v>
      </c>
      <c r="V86" s="4" t="s">
        <v>42</v>
      </c>
      <c r="W86" s="4" t="s">
        <v>42</v>
      </c>
      <c r="X86" s="4" t="s">
        <v>42</v>
      </c>
      <c r="Y86" s="4" t="s">
        <v>43</v>
      </c>
      <c r="Z86" s="4" t="s">
        <v>71</v>
      </c>
      <c r="AA86" s="4" t="s">
        <v>443</v>
      </c>
      <c r="AB86" s="4">
        <v>1</v>
      </c>
    </row>
    <row r="87" spans="1:28" ht="22.5" customHeight="1" x14ac:dyDescent="0.25">
      <c r="A87" s="3">
        <v>46131.674093912035</v>
      </c>
      <c r="B87" s="4" t="s">
        <v>444</v>
      </c>
      <c r="C87" s="4" t="s">
        <v>84</v>
      </c>
      <c r="D87" s="4" t="s">
        <v>46</v>
      </c>
      <c r="E87" s="4" t="s">
        <v>31</v>
      </c>
      <c r="F87" s="4" t="s">
        <v>445</v>
      </c>
      <c r="G87" s="4" t="s">
        <v>55</v>
      </c>
      <c r="H87" s="4" t="s">
        <v>55</v>
      </c>
      <c r="I87" s="4" t="s">
        <v>55</v>
      </c>
      <c r="J87" s="4" t="s">
        <v>60</v>
      </c>
      <c r="K87" s="4" t="s">
        <v>61</v>
      </c>
      <c r="L87" s="4" t="s">
        <v>446</v>
      </c>
      <c r="M87" s="4" t="s">
        <v>39</v>
      </c>
      <c r="N87" s="4" t="s">
        <v>447</v>
      </c>
      <c r="O87" s="4">
        <v>10</v>
      </c>
      <c r="P87" s="4" t="s">
        <v>448</v>
      </c>
      <c r="Q87" s="4" t="s">
        <v>55</v>
      </c>
      <c r="R87" s="4" t="s">
        <v>55</v>
      </c>
      <c r="S87" s="4" t="s">
        <v>55</v>
      </c>
      <c r="T87" s="4" t="s">
        <v>55</v>
      </c>
      <c r="U87" s="4" t="s">
        <v>55</v>
      </c>
      <c r="V87" s="4" t="s">
        <v>55</v>
      </c>
      <c r="W87" s="4" t="s">
        <v>55</v>
      </c>
      <c r="X87" s="4" t="s">
        <v>55</v>
      </c>
      <c r="Y87" s="4" t="s">
        <v>43</v>
      </c>
      <c r="Z87" s="4" t="s">
        <v>75</v>
      </c>
      <c r="AA87" s="4" t="s">
        <v>449</v>
      </c>
      <c r="AB87" s="4">
        <v>5</v>
      </c>
    </row>
    <row r="88" spans="1:28" ht="22.5" customHeight="1" x14ac:dyDescent="0.25">
      <c r="A88" s="3">
        <v>46131.674506782409</v>
      </c>
      <c r="B88" s="4" t="s">
        <v>450</v>
      </c>
      <c r="C88" s="4" t="s">
        <v>29</v>
      </c>
      <c r="D88" s="4" t="s">
        <v>46</v>
      </c>
      <c r="E88" s="4" t="s">
        <v>31</v>
      </c>
      <c r="F88" s="4" t="s">
        <v>451</v>
      </c>
      <c r="G88" s="4" t="s">
        <v>127</v>
      </c>
      <c r="H88" s="4" t="s">
        <v>41</v>
      </c>
      <c r="I88" s="4" t="s">
        <v>71</v>
      </c>
      <c r="J88" s="4" t="s">
        <v>72</v>
      </c>
      <c r="K88" s="4" t="s">
        <v>34</v>
      </c>
      <c r="L88" s="4" t="s">
        <v>452</v>
      </c>
      <c r="M88" s="4" t="s">
        <v>39</v>
      </c>
      <c r="N88" s="4" t="s">
        <v>453</v>
      </c>
      <c r="O88" s="4">
        <v>8</v>
      </c>
      <c r="P88" s="4" t="s">
        <v>55</v>
      </c>
      <c r="Q88" s="4" t="s">
        <v>34</v>
      </c>
      <c r="R88" s="4" t="s">
        <v>42</v>
      </c>
      <c r="S88" s="4" t="s">
        <v>34</v>
      </c>
      <c r="T88" s="4" t="s">
        <v>34</v>
      </c>
      <c r="U88" s="4" t="s">
        <v>34</v>
      </c>
      <c r="V88" s="4" t="s">
        <v>34</v>
      </c>
      <c r="W88" s="4" t="s">
        <v>42</v>
      </c>
      <c r="X88" s="4" t="s">
        <v>34</v>
      </c>
      <c r="Y88" s="4" t="s">
        <v>43</v>
      </c>
      <c r="Z88" s="4" t="s">
        <v>75</v>
      </c>
      <c r="AA88" s="4" t="s">
        <v>454</v>
      </c>
      <c r="AB88" s="4">
        <v>4</v>
      </c>
    </row>
    <row r="89" spans="1:28" ht="22.5" customHeight="1" x14ac:dyDescent="0.25">
      <c r="A89" s="3">
        <v>46131.678194745371</v>
      </c>
      <c r="B89" s="4" t="s">
        <v>455</v>
      </c>
      <c r="C89" s="4" t="s">
        <v>84</v>
      </c>
      <c r="D89" s="4" t="s">
        <v>46</v>
      </c>
      <c r="E89" s="4" t="s">
        <v>31</v>
      </c>
      <c r="F89" s="4" t="s">
        <v>456</v>
      </c>
      <c r="G89" s="4" t="s">
        <v>71</v>
      </c>
      <c r="H89" s="4" t="s">
        <v>41</v>
      </c>
      <c r="I89" s="4" t="s">
        <v>71</v>
      </c>
      <c r="J89" s="4" t="s">
        <v>316</v>
      </c>
      <c r="K89" s="4" t="s">
        <v>41</v>
      </c>
      <c r="L89" s="4" t="s">
        <v>457</v>
      </c>
      <c r="M89" s="4" t="s">
        <v>43</v>
      </c>
      <c r="N89" s="4" t="s">
        <v>458</v>
      </c>
      <c r="O89" s="4">
        <v>5</v>
      </c>
      <c r="P89" s="4" t="s">
        <v>34</v>
      </c>
      <c r="Q89" s="4" t="s">
        <v>34</v>
      </c>
      <c r="R89" s="4" t="s">
        <v>42</v>
      </c>
      <c r="S89" s="4" t="s">
        <v>42</v>
      </c>
      <c r="T89" s="4" t="s">
        <v>34</v>
      </c>
      <c r="U89" s="4" t="s">
        <v>55</v>
      </c>
      <c r="V89" s="4" t="s">
        <v>42</v>
      </c>
      <c r="W89" s="4" t="s">
        <v>34</v>
      </c>
      <c r="X89" s="4" t="s">
        <v>34</v>
      </c>
      <c r="Y89" s="4" t="s">
        <v>89</v>
      </c>
      <c r="Z89" s="4" t="s">
        <v>75</v>
      </c>
      <c r="AA89" s="4" t="s">
        <v>459</v>
      </c>
      <c r="AB89" s="4">
        <v>1</v>
      </c>
    </row>
    <row r="90" spans="1:28" ht="22.5" customHeight="1" x14ac:dyDescent="0.25">
      <c r="A90" s="3">
        <v>46131.679243182865</v>
      </c>
      <c r="B90" s="4" t="s">
        <v>460</v>
      </c>
      <c r="C90" s="4" t="s">
        <v>84</v>
      </c>
      <c r="D90" s="4" t="s">
        <v>46</v>
      </c>
      <c r="E90" s="4" t="s">
        <v>31</v>
      </c>
      <c r="F90" s="4" t="s">
        <v>34</v>
      </c>
      <c r="G90" s="4" t="s">
        <v>461</v>
      </c>
      <c r="H90" s="4" t="s">
        <v>461</v>
      </c>
      <c r="I90" s="4" t="s">
        <v>55</v>
      </c>
      <c r="J90" s="4" t="s">
        <v>60</v>
      </c>
      <c r="K90" s="4" t="s">
        <v>34</v>
      </c>
      <c r="L90" s="4" t="s">
        <v>462</v>
      </c>
      <c r="M90" s="4" t="s">
        <v>39</v>
      </c>
      <c r="N90" s="4" t="s">
        <v>463</v>
      </c>
      <c r="O90" s="4">
        <v>10</v>
      </c>
      <c r="P90" s="4" t="s">
        <v>37</v>
      </c>
      <c r="Q90" s="4" t="s">
        <v>55</v>
      </c>
      <c r="R90" s="4" t="s">
        <v>37</v>
      </c>
      <c r="S90" s="4" t="s">
        <v>34</v>
      </c>
      <c r="T90" s="4" t="s">
        <v>55</v>
      </c>
      <c r="U90" s="4" t="s">
        <v>55</v>
      </c>
      <c r="V90" s="4" t="s">
        <v>55</v>
      </c>
      <c r="W90" s="4" t="s">
        <v>55</v>
      </c>
      <c r="X90" s="4" t="s">
        <v>55</v>
      </c>
      <c r="Y90" s="4" t="s">
        <v>43</v>
      </c>
      <c r="Z90" s="4" t="s">
        <v>34</v>
      </c>
      <c r="AA90" s="4" t="s">
        <v>464</v>
      </c>
      <c r="AB90" s="4">
        <v>5</v>
      </c>
    </row>
    <row r="91" spans="1:28" ht="22.5" customHeight="1" x14ac:dyDescent="0.25">
      <c r="A91" s="3">
        <v>46131.681185729161</v>
      </c>
      <c r="B91" s="4" t="s">
        <v>465</v>
      </c>
      <c r="C91" s="4" t="s">
        <v>29</v>
      </c>
      <c r="D91" s="4" t="s">
        <v>126</v>
      </c>
      <c r="E91" s="4" t="s">
        <v>31</v>
      </c>
      <c r="F91" s="4" t="s">
        <v>92</v>
      </c>
      <c r="G91" s="4" t="s">
        <v>127</v>
      </c>
      <c r="H91" s="4" t="s">
        <v>78</v>
      </c>
      <c r="I91" s="4" t="s">
        <v>34</v>
      </c>
      <c r="J91" s="4" t="s">
        <v>60</v>
      </c>
      <c r="K91" s="4" t="s">
        <v>41</v>
      </c>
      <c r="L91" s="4" t="s">
        <v>466</v>
      </c>
      <c r="M91" s="4" t="s">
        <v>43</v>
      </c>
      <c r="N91" s="4" t="s">
        <v>467</v>
      </c>
      <c r="O91" s="4">
        <v>9</v>
      </c>
      <c r="P91" s="4" t="s">
        <v>37</v>
      </c>
      <c r="Q91" s="4" t="s">
        <v>34</v>
      </c>
      <c r="R91" s="4" t="s">
        <v>34</v>
      </c>
      <c r="S91" s="4" t="s">
        <v>34</v>
      </c>
      <c r="T91" s="4" t="s">
        <v>34</v>
      </c>
      <c r="U91" s="4" t="s">
        <v>34</v>
      </c>
      <c r="V91" s="4" t="s">
        <v>34</v>
      </c>
      <c r="W91" s="4" t="s">
        <v>34</v>
      </c>
      <c r="X91" s="4" t="s">
        <v>37</v>
      </c>
      <c r="Y91" s="4" t="s">
        <v>43</v>
      </c>
      <c r="Z91" s="4" t="s">
        <v>75</v>
      </c>
      <c r="AA91" s="4" t="s">
        <v>468</v>
      </c>
      <c r="AB91" s="4">
        <v>1</v>
      </c>
    </row>
    <row r="92" spans="1:28" ht="22.5" customHeight="1" x14ac:dyDescent="0.25">
      <c r="A92" s="3">
        <v>46131.684179479169</v>
      </c>
      <c r="B92" s="4" t="s">
        <v>469</v>
      </c>
      <c r="C92" s="4" t="s">
        <v>29</v>
      </c>
      <c r="D92" s="4" t="s">
        <v>46</v>
      </c>
      <c r="E92" s="4" t="s">
        <v>31</v>
      </c>
      <c r="F92" s="4" t="s">
        <v>92</v>
      </c>
      <c r="G92" s="4" t="s">
        <v>66</v>
      </c>
      <c r="H92" s="4" t="s">
        <v>148</v>
      </c>
      <c r="I92" s="4" t="s">
        <v>71</v>
      </c>
      <c r="J92" s="4" t="s">
        <v>60</v>
      </c>
      <c r="K92" s="4" t="s">
        <v>41</v>
      </c>
      <c r="L92" s="4" t="s">
        <v>470</v>
      </c>
      <c r="M92" s="4" t="s">
        <v>39</v>
      </c>
      <c r="N92" s="4" t="s">
        <v>471</v>
      </c>
      <c r="O92" s="4">
        <v>8</v>
      </c>
      <c r="P92" s="4" t="s">
        <v>41</v>
      </c>
      <c r="Q92" s="4" t="s">
        <v>42</v>
      </c>
      <c r="R92" s="4" t="s">
        <v>42</v>
      </c>
      <c r="S92" s="4" t="s">
        <v>42</v>
      </c>
      <c r="T92" s="4" t="s">
        <v>42</v>
      </c>
      <c r="U92" s="4" t="s">
        <v>42</v>
      </c>
      <c r="V92" s="4" t="s">
        <v>42</v>
      </c>
      <c r="W92" s="4" t="s">
        <v>42</v>
      </c>
      <c r="X92" s="4" t="s">
        <v>42</v>
      </c>
      <c r="Y92" s="4" t="s">
        <v>39</v>
      </c>
      <c r="Z92" s="4" t="s">
        <v>71</v>
      </c>
      <c r="AA92" s="4" t="s">
        <v>472</v>
      </c>
      <c r="AB92" s="4">
        <v>5</v>
      </c>
    </row>
    <row r="93" spans="1:28" ht="22.5" customHeight="1" x14ac:dyDescent="0.25">
      <c r="A93" s="3">
        <v>46131.689283217594</v>
      </c>
      <c r="B93" s="4" t="s">
        <v>473</v>
      </c>
      <c r="C93" s="4" t="s">
        <v>29</v>
      </c>
      <c r="D93" s="4" t="s">
        <v>46</v>
      </c>
      <c r="E93" s="4" t="s">
        <v>31</v>
      </c>
      <c r="F93" s="4" t="s">
        <v>71</v>
      </c>
      <c r="G93" s="4" t="s">
        <v>66</v>
      </c>
      <c r="H93" s="4" t="s">
        <v>148</v>
      </c>
      <c r="I93" s="4" t="s">
        <v>55</v>
      </c>
      <c r="J93" s="4" t="s">
        <v>60</v>
      </c>
      <c r="K93" s="4" t="s">
        <v>41</v>
      </c>
      <c r="L93" s="4" t="s">
        <v>132</v>
      </c>
      <c r="M93" s="4" t="s">
        <v>39</v>
      </c>
      <c r="N93" s="4" t="s">
        <v>474</v>
      </c>
      <c r="O93" s="4">
        <v>10</v>
      </c>
      <c r="P93" s="4" t="s">
        <v>55</v>
      </c>
      <c r="Q93" s="4" t="s">
        <v>55</v>
      </c>
      <c r="R93" s="4" t="s">
        <v>55</v>
      </c>
      <c r="S93" s="4" t="s">
        <v>55</v>
      </c>
      <c r="T93" s="4" t="s">
        <v>55</v>
      </c>
      <c r="U93" s="4" t="s">
        <v>55</v>
      </c>
      <c r="V93" s="4" t="s">
        <v>55</v>
      </c>
      <c r="W93" s="4" t="s">
        <v>55</v>
      </c>
      <c r="X93" s="4" t="s">
        <v>55</v>
      </c>
      <c r="Y93" s="4" t="s">
        <v>39</v>
      </c>
      <c r="Z93" s="4" t="s">
        <v>55</v>
      </c>
      <c r="AA93" s="4" t="s">
        <v>475</v>
      </c>
      <c r="AB93" s="4">
        <v>10</v>
      </c>
    </row>
    <row r="94" spans="1:28" ht="22.5" customHeight="1" x14ac:dyDescent="0.25">
      <c r="A94" s="3">
        <v>46131.689846863424</v>
      </c>
      <c r="B94" s="4" t="s">
        <v>119</v>
      </c>
      <c r="C94" s="4" t="s">
        <v>29</v>
      </c>
      <c r="D94" s="4" t="s">
        <v>46</v>
      </c>
      <c r="E94" s="4" t="s">
        <v>31</v>
      </c>
      <c r="F94" s="4" t="s">
        <v>41</v>
      </c>
      <c r="G94" s="4" t="s">
        <v>127</v>
      </c>
      <c r="H94" s="4" t="s">
        <v>78</v>
      </c>
      <c r="I94" s="4" t="s">
        <v>71</v>
      </c>
      <c r="J94" s="4" t="s">
        <v>60</v>
      </c>
      <c r="K94" s="4" t="s">
        <v>41</v>
      </c>
      <c r="L94" s="4" t="s">
        <v>476</v>
      </c>
      <c r="M94" s="4" t="s">
        <v>39</v>
      </c>
      <c r="N94" s="4" t="s">
        <v>477</v>
      </c>
      <c r="O94" s="4">
        <v>10</v>
      </c>
      <c r="P94" s="4" t="s">
        <v>34</v>
      </c>
      <c r="Q94" s="4" t="s">
        <v>42</v>
      </c>
      <c r="R94" s="4" t="s">
        <v>42</v>
      </c>
      <c r="S94" s="4" t="s">
        <v>42</v>
      </c>
      <c r="T94" s="4" t="s">
        <v>42</v>
      </c>
      <c r="U94" s="4" t="s">
        <v>42</v>
      </c>
      <c r="V94" s="4" t="s">
        <v>42</v>
      </c>
      <c r="W94" s="4" t="s">
        <v>42</v>
      </c>
      <c r="X94" s="4" t="s">
        <v>42</v>
      </c>
      <c r="Y94" s="4" t="s">
        <v>43</v>
      </c>
      <c r="Z94" s="4" t="s">
        <v>75</v>
      </c>
      <c r="AA94" s="4" t="s">
        <v>478</v>
      </c>
      <c r="AB94" s="4">
        <v>1</v>
      </c>
    </row>
    <row r="95" spans="1:28" ht="22.5" customHeight="1" x14ac:dyDescent="0.25">
      <c r="A95" s="3">
        <v>46131.693348831017</v>
      </c>
      <c r="B95" s="4" t="s">
        <v>479</v>
      </c>
      <c r="C95" s="4" t="s">
        <v>84</v>
      </c>
      <c r="D95" s="4" t="s">
        <v>46</v>
      </c>
      <c r="E95" s="4" t="s">
        <v>31</v>
      </c>
      <c r="F95" s="4" t="s">
        <v>154</v>
      </c>
      <c r="G95" s="4" t="s">
        <v>120</v>
      </c>
      <c r="H95" s="4" t="s">
        <v>302</v>
      </c>
      <c r="I95" s="4" t="s">
        <v>71</v>
      </c>
      <c r="J95" s="4" t="s">
        <v>36</v>
      </c>
      <c r="K95" s="4" t="s">
        <v>41</v>
      </c>
      <c r="L95" s="4" t="s">
        <v>480</v>
      </c>
      <c r="M95" s="4" t="s">
        <v>39</v>
      </c>
      <c r="N95" s="4" t="s">
        <v>481</v>
      </c>
      <c r="O95" s="4">
        <v>6</v>
      </c>
      <c r="P95" s="4" t="s">
        <v>34</v>
      </c>
      <c r="Q95" s="4" t="s">
        <v>34</v>
      </c>
      <c r="R95" s="4" t="s">
        <v>34</v>
      </c>
      <c r="S95" s="4" t="s">
        <v>34</v>
      </c>
      <c r="T95" s="4" t="s">
        <v>37</v>
      </c>
      <c r="U95" s="4" t="s">
        <v>34</v>
      </c>
      <c r="V95" s="4" t="s">
        <v>37</v>
      </c>
      <c r="W95" s="4" t="s">
        <v>37</v>
      </c>
      <c r="X95" s="4" t="s">
        <v>37</v>
      </c>
      <c r="Y95" s="4" t="s">
        <v>89</v>
      </c>
      <c r="Z95" s="4" t="s">
        <v>34</v>
      </c>
      <c r="AA95" s="4" t="s">
        <v>482</v>
      </c>
      <c r="AB95" s="4">
        <v>4</v>
      </c>
    </row>
    <row r="96" spans="1:28" ht="22.5" customHeight="1" x14ac:dyDescent="0.25">
      <c r="A96" s="3">
        <v>46131.698341909723</v>
      </c>
      <c r="B96" s="4" t="s">
        <v>483</v>
      </c>
      <c r="C96" s="4" t="s">
        <v>29</v>
      </c>
      <c r="D96" s="4" t="s">
        <v>46</v>
      </c>
      <c r="E96" s="4" t="s">
        <v>31</v>
      </c>
      <c r="F96" s="4" t="s">
        <v>71</v>
      </c>
      <c r="G96" s="4" t="s">
        <v>391</v>
      </c>
      <c r="H96" s="4" t="s">
        <v>391</v>
      </c>
      <c r="I96" s="4" t="s">
        <v>55</v>
      </c>
      <c r="J96" s="4" t="s">
        <v>60</v>
      </c>
      <c r="K96" s="4" t="s">
        <v>41</v>
      </c>
      <c r="L96" s="4" t="s">
        <v>484</v>
      </c>
      <c r="M96" s="4" t="s">
        <v>39</v>
      </c>
      <c r="N96" s="4" t="s">
        <v>485</v>
      </c>
      <c r="O96" s="4">
        <v>10</v>
      </c>
      <c r="P96" s="4" t="s">
        <v>34</v>
      </c>
      <c r="Q96" s="4" t="s">
        <v>55</v>
      </c>
      <c r="R96" s="4" t="s">
        <v>55</v>
      </c>
      <c r="S96" s="4" t="s">
        <v>34</v>
      </c>
      <c r="T96" s="4" t="s">
        <v>55</v>
      </c>
      <c r="U96" s="4" t="s">
        <v>37</v>
      </c>
      <c r="V96" s="4" t="s">
        <v>55</v>
      </c>
      <c r="W96" s="4" t="s">
        <v>55</v>
      </c>
      <c r="X96" s="4" t="s">
        <v>37</v>
      </c>
      <c r="Y96" s="4" t="s">
        <v>39</v>
      </c>
      <c r="Z96" s="4" t="s">
        <v>34</v>
      </c>
      <c r="AA96" s="4" t="s">
        <v>486</v>
      </c>
      <c r="AB96" s="4">
        <v>7</v>
      </c>
    </row>
    <row r="97" spans="1:28" ht="22.5" customHeight="1" x14ac:dyDescent="0.25">
      <c r="A97" s="3">
        <v>46131.69842833333</v>
      </c>
      <c r="B97" s="4" t="s">
        <v>487</v>
      </c>
      <c r="C97" s="4" t="s">
        <v>29</v>
      </c>
      <c r="D97" s="4" t="s">
        <v>46</v>
      </c>
      <c r="E97" s="4" t="s">
        <v>31</v>
      </c>
      <c r="F97" s="4" t="s">
        <v>488</v>
      </c>
      <c r="G97" s="4" t="s">
        <v>71</v>
      </c>
      <c r="H97" s="4" t="s">
        <v>78</v>
      </c>
      <c r="I97" s="4" t="s">
        <v>71</v>
      </c>
      <c r="J97" s="4" t="s">
        <v>60</v>
      </c>
      <c r="K97" s="4" t="s">
        <v>41</v>
      </c>
      <c r="L97" s="4" t="s">
        <v>41</v>
      </c>
      <c r="M97" s="4" t="s">
        <v>39</v>
      </c>
      <c r="N97" s="4" t="s">
        <v>489</v>
      </c>
      <c r="O97" s="4">
        <v>2</v>
      </c>
      <c r="P97" s="4" t="s">
        <v>34</v>
      </c>
      <c r="Q97" s="4" t="s">
        <v>42</v>
      </c>
      <c r="R97" s="4" t="s">
        <v>42</v>
      </c>
      <c r="S97" s="4" t="s">
        <v>34</v>
      </c>
      <c r="T97" s="4" t="s">
        <v>42</v>
      </c>
      <c r="U97" s="4" t="s">
        <v>34</v>
      </c>
      <c r="V97" s="4" t="s">
        <v>34</v>
      </c>
      <c r="W97" s="4" t="s">
        <v>42</v>
      </c>
      <c r="X97" s="4" t="s">
        <v>42</v>
      </c>
      <c r="Y97" s="4" t="s">
        <v>39</v>
      </c>
      <c r="Z97" s="4" t="s">
        <v>71</v>
      </c>
      <c r="AA97" s="4" t="s">
        <v>39</v>
      </c>
      <c r="AB97" s="4">
        <v>1</v>
      </c>
    </row>
    <row r="98" spans="1:28" ht="22.5" customHeight="1" x14ac:dyDescent="0.25">
      <c r="A98" s="3">
        <v>46131.699283611109</v>
      </c>
      <c r="B98" s="4" t="s">
        <v>490</v>
      </c>
      <c r="C98" s="4" t="s">
        <v>29</v>
      </c>
      <c r="D98" s="4" t="s">
        <v>46</v>
      </c>
      <c r="E98" s="4" t="s">
        <v>31</v>
      </c>
      <c r="F98" s="4" t="s">
        <v>491</v>
      </c>
      <c r="G98" s="4" t="s">
        <v>66</v>
      </c>
      <c r="H98" s="4" t="s">
        <v>136</v>
      </c>
      <c r="I98" s="4" t="s">
        <v>71</v>
      </c>
      <c r="J98" s="4" t="s">
        <v>60</v>
      </c>
      <c r="K98" s="4" t="s">
        <v>34</v>
      </c>
      <c r="L98" s="4" t="s">
        <v>492</v>
      </c>
      <c r="M98" s="4" t="s">
        <v>39</v>
      </c>
      <c r="N98" s="4" t="s">
        <v>492</v>
      </c>
      <c r="O98" s="4">
        <v>9</v>
      </c>
      <c r="P98" s="4" t="s">
        <v>298</v>
      </c>
      <c r="Q98" s="4" t="s">
        <v>42</v>
      </c>
      <c r="R98" s="4" t="s">
        <v>42</v>
      </c>
      <c r="S98" s="4" t="s">
        <v>42</v>
      </c>
      <c r="T98" s="4" t="s">
        <v>42</v>
      </c>
      <c r="U98" s="4" t="s">
        <v>42</v>
      </c>
      <c r="V98" s="4" t="s">
        <v>42</v>
      </c>
      <c r="W98" s="4" t="s">
        <v>42</v>
      </c>
      <c r="X98" s="4" t="s">
        <v>42</v>
      </c>
      <c r="Y98" s="4" t="s">
        <v>43</v>
      </c>
      <c r="Z98" s="4" t="s">
        <v>75</v>
      </c>
      <c r="AA98" s="4" t="s">
        <v>493</v>
      </c>
      <c r="AB98" s="4">
        <v>5</v>
      </c>
    </row>
    <row r="99" spans="1:28" ht="22.5" customHeight="1" x14ac:dyDescent="0.25">
      <c r="A99" s="3">
        <v>46131.699354131946</v>
      </c>
      <c r="B99" s="4" t="s">
        <v>494</v>
      </c>
      <c r="C99" s="4" t="s">
        <v>29</v>
      </c>
      <c r="D99" s="4" t="s">
        <v>46</v>
      </c>
      <c r="E99" s="4" t="s">
        <v>31</v>
      </c>
      <c r="F99" s="4" t="s">
        <v>71</v>
      </c>
      <c r="G99" s="4" t="s">
        <v>71</v>
      </c>
      <c r="H99" s="4" t="s">
        <v>41</v>
      </c>
      <c r="I99" s="4" t="s">
        <v>71</v>
      </c>
      <c r="J99" s="4" t="s">
        <v>47</v>
      </c>
      <c r="K99" s="4" t="s">
        <v>34</v>
      </c>
      <c r="L99" s="4" t="s">
        <v>495</v>
      </c>
      <c r="M99" s="4" t="s">
        <v>39</v>
      </c>
      <c r="N99" s="4" t="s">
        <v>496</v>
      </c>
      <c r="O99" s="4">
        <v>4</v>
      </c>
      <c r="P99" s="4" t="s">
        <v>34</v>
      </c>
      <c r="Q99" s="4" t="s">
        <v>42</v>
      </c>
      <c r="R99" s="4" t="s">
        <v>42</v>
      </c>
      <c r="S99" s="4" t="s">
        <v>42</v>
      </c>
      <c r="T99" s="4" t="s">
        <v>42</v>
      </c>
      <c r="U99" s="4" t="s">
        <v>42</v>
      </c>
      <c r="V99" s="4" t="s">
        <v>42</v>
      </c>
      <c r="W99" s="4" t="s">
        <v>42</v>
      </c>
      <c r="X99" s="4" t="s">
        <v>42</v>
      </c>
      <c r="Y99" s="4" t="s">
        <v>43</v>
      </c>
      <c r="Z99" s="4" t="s">
        <v>34</v>
      </c>
      <c r="AA99" s="4" t="s">
        <v>497</v>
      </c>
      <c r="AB99" s="4">
        <v>5</v>
      </c>
    </row>
    <row r="100" spans="1:28" ht="22.5" customHeight="1" x14ac:dyDescent="0.25">
      <c r="A100" s="3">
        <v>46131.703952835647</v>
      </c>
      <c r="B100" s="4" t="s">
        <v>498</v>
      </c>
      <c r="C100" s="4" t="s">
        <v>29</v>
      </c>
      <c r="D100" s="4" t="s">
        <v>46</v>
      </c>
      <c r="E100" s="4" t="s">
        <v>31</v>
      </c>
      <c r="F100" s="4" t="s">
        <v>41</v>
      </c>
      <c r="G100" s="4" t="s">
        <v>120</v>
      </c>
      <c r="H100" s="4" t="s">
        <v>100</v>
      </c>
      <c r="I100" s="4" t="s">
        <v>71</v>
      </c>
      <c r="J100" s="4" t="s">
        <v>316</v>
      </c>
      <c r="K100" s="4" t="s">
        <v>34</v>
      </c>
      <c r="L100" s="4" t="s">
        <v>499</v>
      </c>
      <c r="M100" s="4" t="s">
        <v>39</v>
      </c>
      <c r="N100" s="4" t="s">
        <v>500</v>
      </c>
      <c r="O100" s="4">
        <v>7</v>
      </c>
      <c r="P100" s="4" t="s">
        <v>37</v>
      </c>
      <c r="Q100" s="4" t="s">
        <v>42</v>
      </c>
      <c r="R100" s="4" t="s">
        <v>34</v>
      </c>
      <c r="S100" s="4" t="s">
        <v>42</v>
      </c>
      <c r="T100" s="4" t="s">
        <v>42</v>
      </c>
      <c r="U100" s="4" t="s">
        <v>37</v>
      </c>
      <c r="V100" s="4" t="s">
        <v>42</v>
      </c>
      <c r="W100" s="4" t="s">
        <v>42</v>
      </c>
      <c r="X100" s="4" t="s">
        <v>34</v>
      </c>
      <c r="Y100" s="4" t="s">
        <v>39</v>
      </c>
      <c r="Z100" s="4" t="s">
        <v>34</v>
      </c>
      <c r="AA100" s="4" t="s">
        <v>501</v>
      </c>
      <c r="AB100" s="4">
        <v>5</v>
      </c>
    </row>
    <row r="101" spans="1:28" ht="22.5" customHeight="1" x14ac:dyDescent="0.25">
      <c r="A101" s="3">
        <v>46131.704800023144</v>
      </c>
      <c r="B101" s="4" t="s">
        <v>502</v>
      </c>
      <c r="C101" s="4" t="s">
        <v>29</v>
      </c>
      <c r="D101" s="4" t="s">
        <v>204</v>
      </c>
      <c r="E101" s="4" t="s">
        <v>31</v>
      </c>
      <c r="F101" s="4" t="s">
        <v>268</v>
      </c>
      <c r="G101" s="4" t="s">
        <v>55</v>
      </c>
      <c r="H101" s="4" t="s">
        <v>55</v>
      </c>
      <c r="I101" s="4" t="s">
        <v>55</v>
      </c>
      <c r="J101" s="4" t="s">
        <v>36</v>
      </c>
      <c r="K101" s="4" t="s">
        <v>61</v>
      </c>
      <c r="L101" s="4" t="s">
        <v>503</v>
      </c>
      <c r="M101" s="4" t="s">
        <v>39</v>
      </c>
      <c r="N101" s="4" t="s">
        <v>504</v>
      </c>
      <c r="O101" s="4">
        <v>10</v>
      </c>
      <c r="P101" s="4" t="s">
        <v>34</v>
      </c>
      <c r="Q101" s="4" t="s">
        <v>55</v>
      </c>
      <c r="R101" s="4" t="s">
        <v>34</v>
      </c>
      <c r="S101" s="4" t="s">
        <v>34</v>
      </c>
      <c r="T101" s="4" t="s">
        <v>34</v>
      </c>
      <c r="U101" s="4" t="s">
        <v>34</v>
      </c>
      <c r="V101" s="4" t="s">
        <v>34</v>
      </c>
      <c r="W101" s="4" t="s">
        <v>34</v>
      </c>
      <c r="X101" s="4" t="s">
        <v>55</v>
      </c>
      <c r="Y101" s="4" t="s">
        <v>43</v>
      </c>
      <c r="Z101" s="4" t="s">
        <v>34</v>
      </c>
      <c r="AA101" s="4" t="s">
        <v>505</v>
      </c>
      <c r="AB101" s="4">
        <v>6</v>
      </c>
    </row>
    <row r="102" spans="1:28" ht="22.5" customHeight="1" x14ac:dyDescent="0.25">
      <c r="A102" s="3">
        <v>46131.706727453704</v>
      </c>
      <c r="B102" s="4" t="s">
        <v>506</v>
      </c>
      <c r="C102" s="4" t="s">
        <v>29</v>
      </c>
      <c r="D102" s="4" t="s">
        <v>46</v>
      </c>
      <c r="E102" s="4" t="s">
        <v>31</v>
      </c>
      <c r="F102" s="4" t="s">
        <v>92</v>
      </c>
      <c r="G102" s="4" t="s">
        <v>66</v>
      </c>
      <c r="H102" s="4" t="s">
        <v>86</v>
      </c>
      <c r="I102" s="4" t="s">
        <v>55</v>
      </c>
      <c r="J102" s="4" t="s">
        <v>60</v>
      </c>
      <c r="K102" s="4" t="s">
        <v>41</v>
      </c>
      <c r="L102" s="4" t="s">
        <v>507</v>
      </c>
      <c r="M102" s="4" t="s">
        <v>43</v>
      </c>
      <c r="N102" s="4" t="s">
        <v>508</v>
      </c>
      <c r="O102" s="4">
        <v>5</v>
      </c>
      <c r="P102" s="4" t="s">
        <v>34</v>
      </c>
      <c r="Q102" s="4" t="s">
        <v>34</v>
      </c>
      <c r="R102" s="4" t="s">
        <v>34</v>
      </c>
      <c r="S102" s="4" t="s">
        <v>42</v>
      </c>
      <c r="T102" s="4" t="s">
        <v>34</v>
      </c>
      <c r="U102" s="4" t="s">
        <v>34</v>
      </c>
      <c r="V102" s="4" t="s">
        <v>42</v>
      </c>
      <c r="W102" s="4" t="s">
        <v>42</v>
      </c>
      <c r="X102" s="4" t="s">
        <v>37</v>
      </c>
      <c r="Y102" s="4" t="s">
        <v>43</v>
      </c>
      <c r="Z102" s="4" t="s">
        <v>75</v>
      </c>
      <c r="AA102" s="4" t="s">
        <v>509</v>
      </c>
      <c r="AB102" s="4">
        <v>1</v>
      </c>
    </row>
    <row r="103" spans="1:28" ht="22.5" customHeight="1" x14ac:dyDescent="0.25">
      <c r="A103" s="3">
        <v>46131.709625104166</v>
      </c>
      <c r="B103" s="4" t="s">
        <v>510</v>
      </c>
      <c r="C103" s="4" t="s">
        <v>29</v>
      </c>
      <c r="D103" s="4" t="s">
        <v>46</v>
      </c>
      <c r="E103" s="4" t="s">
        <v>31</v>
      </c>
      <c r="F103" s="4" t="s">
        <v>92</v>
      </c>
      <c r="G103" s="4" t="s">
        <v>127</v>
      </c>
      <c r="H103" s="4" t="s">
        <v>78</v>
      </c>
      <c r="I103" s="4" t="s">
        <v>71</v>
      </c>
      <c r="J103" s="4" t="s">
        <v>60</v>
      </c>
      <c r="K103" s="4" t="s">
        <v>34</v>
      </c>
      <c r="L103" s="4" t="s">
        <v>511</v>
      </c>
      <c r="M103" s="4" t="s">
        <v>39</v>
      </c>
      <c r="N103" s="4" t="s">
        <v>512</v>
      </c>
      <c r="O103" s="4">
        <v>8</v>
      </c>
      <c r="P103" s="4" t="s">
        <v>55</v>
      </c>
      <c r="Q103" s="4" t="s">
        <v>34</v>
      </c>
      <c r="R103" s="4" t="s">
        <v>42</v>
      </c>
      <c r="S103" s="4" t="s">
        <v>42</v>
      </c>
      <c r="T103" s="4" t="s">
        <v>34</v>
      </c>
      <c r="U103" s="4" t="s">
        <v>42</v>
      </c>
      <c r="V103" s="4" t="s">
        <v>34</v>
      </c>
      <c r="W103" s="4" t="s">
        <v>42</v>
      </c>
      <c r="X103" s="4" t="s">
        <v>42</v>
      </c>
      <c r="Y103" s="4" t="s">
        <v>39</v>
      </c>
      <c r="Z103" s="4" t="s">
        <v>34</v>
      </c>
      <c r="AA103" s="4" t="s">
        <v>513</v>
      </c>
      <c r="AB103" s="4">
        <v>5</v>
      </c>
    </row>
    <row r="104" spans="1:28" ht="22.5" customHeight="1" x14ac:dyDescent="0.25">
      <c r="A104" s="3">
        <v>46131.709713472221</v>
      </c>
      <c r="B104" s="4" t="s">
        <v>514</v>
      </c>
      <c r="C104" s="4" t="s">
        <v>29</v>
      </c>
      <c r="D104" s="4" t="s">
        <v>46</v>
      </c>
      <c r="E104" s="4" t="s">
        <v>31</v>
      </c>
      <c r="F104" s="4" t="s">
        <v>41</v>
      </c>
      <c r="G104" s="4" t="s">
        <v>55</v>
      </c>
      <c r="H104" s="4" t="s">
        <v>86</v>
      </c>
      <c r="I104" s="4" t="s">
        <v>55</v>
      </c>
      <c r="J104" s="4" t="s">
        <v>60</v>
      </c>
      <c r="K104" s="4" t="s">
        <v>34</v>
      </c>
      <c r="L104" s="4" t="s">
        <v>515</v>
      </c>
      <c r="M104" s="4" t="s">
        <v>39</v>
      </c>
      <c r="N104" s="4" t="s">
        <v>515</v>
      </c>
      <c r="O104" s="4">
        <v>10</v>
      </c>
      <c r="P104" s="4" t="s">
        <v>55</v>
      </c>
      <c r="Q104" s="4" t="s">
        <v>55</v>
      </c>
      <c r="R104" s="4" t="s">
        <v>55</v>
      </c>
      <c r="S104" s="4" t="s">
        <v>55</v>
      </c>
      <c r="T104" s="4" t="s">
        <v>55</v>
      </c>
      <c r="U104" s="4" t="s">
        <v>55</v>
      </c>
      <c r="V104" s="4" t="s">
        <v>55</v>
      </c>
      <c r="W104" s="4" t="s">
        <v>55</v>
      </c>
      <c r="X104" s="4" t="s">
        <v>55</v>
      </c>
      <c r="Y104" s="4" t="s">
        <v>89</v>
      </c>
      <c r="Z104" s="4" t="s">
        <v>75</v>
      </c>
      <c r="AA104" s="4" t="s">
        <v>516</v>
      </c>
      <c r="AB104" s="4">
        <v>4</v>
      </c>
    </row>
    <row r="105" spans="1:28" ht="22.5" customHeight="1" x14ac:dyDescent="0.25">
      <c r="A105" s="3">
        <v>46131.711995150465</v>
      </c>
      <c r="B105" s="4" t="s">
        <v>517</v>
      </c>
      <c r="C105" s="4" t="s">
        <v>84</v>
      </c>
      <c r="D105" s="4" t="s">
        <v>46</v>
      </c>
      <c r="E105" s="4" t="s">
        <v>389</v>
      </c>
      <c r="F105" s="4" t="s">
        <v>191</v>
      </c>
      <c r="G105" s="4" t="s">
        <v>127</v>
      </c>
      <c r="H105" s="4" t="s">
        <v>78</v>
      </c>
      <c r="I105" s="4" t="s">
        <v>34</v>
      </c>
      <c r="J105" s="4" t="s">
        <v>60</v>
      </c>
      <c r="K105" s="4" t="s">
        <v>41</v>
      </c>
      <c r="L105" s="4" t="s">
        <v>518</v>
      </c>
      <c r="M105" s="4" t="s">
        <v>39</v>
      </c>
      <c r="N105" s="4" t="s">
        <v>519</v>
      </c>
      <c r="O105" s="4">
        <v>8</v>
      </c>
      <c r="P105" s="4" t="s">
        <v>37</v>
      </c>
      <c r="Q105" s="4" t="s">
        <v>34</v>
      </c>
      <c r="R105" s="4" t="s">
        <v>34</v>
      </c>
      <c r="S105" s="4" t="s">
        <v>42</v>
      </c>
      <c r="T105" s="4" t="s">
        <v>42</v>
      </c>
      <c r="U105" s="4" t="s">
        <v>34</v>
      </c>
      <c r="V105" s="4" t="s">
        <v>34</v>
      </c>
      <c r="W105" s="4" t="s">
        <v>34</v>
      </c>
      <c r="X105" s="4" t="s">
        <v>42</v>
      </c>
      <c r="Y105" s="4" t="s">
        <v>43</v>
      </c>
      <c r="Z105" s="4" t="s">
        <v>34</v>
      </c>
      <c r="AA105" s="4" t="s">
        <v>520</v>
      </c>
      <c r="AB105" s="4">
        <v>1</v>
      </c>
    </row>
    <row r="106" spans="1:28" ht="22.5" customHeight="1" x14ac:dyDescent="0.25">
      <c r="A106" s="3">
        <v>46131.71489023148</v>
      </c>
      <c r="B106" s="4" t="s">
        <v>521</v>
      </c>
      <c r="C106" s="4" t="s">
        <v>29</v>
      </c>
      <c r="D106" s="4" t="s">
        <v>204</v>
      </c>
      <c r="E106" s="4" t="s">
        <v>31</v>
      </c>
      <c r="F106" s="4" t="s">
        <v>34</v>
      </c>
      <c r="G106" s="4" t="s">
        <v>34</v>
      </c>
      <c r="H106" s="4" t="s">
        <v>34</v>
      </c>
      <c r="I106" s="4" t="s">
        <v>34</v>
      </c>
      <c r="J106" s="4" t="s">
        <v>60</v>
      </c>
      <c r="K106" s="4" t="s">
        <v>41</v>
      </c>
      <c r="L106" s="4" t="s">
        <v>522</v>
      </c>
      <c r="M106" s="4" t="s">
        <v>39</v>
      </c>
      <c r="N106" s="4" t="s">
        <v>523</v>
      </c>
      <c r="O106" s="4">
        <v>10</v>
      </c>
      <c r="P106" s="4" t="s">
        <v>524</v>
      </c>
      <c r="Q106" s="4" t="s">
        <v>34</v>
      </c>
      <c r="R106" s="4" t="s">
        <v>34</v>
      </c>
      <c r="S106" s="4" t="s">
        <v>34</v>
      </c>
      <c r="T106" s="4" t="s">
        <v>34</v>
      </c>
      <c r="U106" s="4" t="s">
        <v>34</v>
      </c>
      <c r="V106" s="4" t="s">
        <v>34</v>
      </c>
      <c r="W106" s="4" t="s">
        <v>34</v>
      </c>
      <c r="X106" s="4" t="s">
        <v>34</v>
      </c>
      <c r="Y106" s="4" t="s">
        <v>43</v>
      </c>
      <c r="Z106" s="4" t="s">
        <v>75</v>
      </c>
      <c r="AA106" s="4" t="s">
        <v>525</v>
      </c>
      <c r="AB106" s="4">
        <v>7</v>
      </c>
    </row>
    <row r="107" spans="1:28" ht="22.5" customHeight="1" x14ac:dyDescent="0.25">
      <c r="A107" s="3">
        <v>46131.717368321755</v>
      </c>
      <c r="B107" s="4" t="s">
        <v>526</v>
      </c>
      <c r="C107" s="4" t="s">
        <v>29</v>
      </c>
      <c r="D107" s="4" t="s">
        <v>46</v>
      </c>
      <c r="E107" s="4" t="s">
        <v>31</v>
      </c>
      <c r="F107" s="4" t="s">
        <v>71</v>
      </c>
      <c r="G107" s="4" t="s">
        <v>127</v>
      </c>
      <c r="H107" s="4" t="s">
        <v>78</v>
      </c>
      <c r="I107" s="4" t="s">
        <v>34</v>
      </c>
      <c r="J107" s="4" t="s">
        <v>60</v>
      </c>
      <c r="K107" s="4" t="s">
        <v>41</v>
      </c>
      <c r="L107" s="4" t="s">
        <v>527</v>
      </c>
      <c r="M107" s="4" t="s">
        <v>39</v>
      </c>
      <c r="N107" s="4" t="s">
        <v>132</v>
      </c>
      <c r="O107" s="4">
        <v>6</v>
      </c>
      <c r="P107" s="4" t="s">
        <v>41</v>
      </c>
      <c r="Q107" s="4" t="s">
        <v>42</v>
      </c>
      <c r="R107" s="4" t="s">
        <v>42</v>
      </c>
      <c r="S107" s="4" t="s">
        <v>42</v>
      </c>
      <c r="T107" s="4" t="s">
        <v>42</v>
      </c>
      <c r="U107" s="4" t="s">
        <v>42</v>
      </c>
      <c r="V107" s="4" t="s">
        <v>42</v>
      </c>
      <c r="W107" s="4" t="s">
        <v>42</v>
      </c>
      <c r="X107" s="4" t="s">
        <v>42</v>
      </c>
      <c r="Y107" s="4" t="s">
        <v>43</v>
      </c>
      <c r="Z107" s="4" t="s">
        <v>75</v>
      </c>
      <c r="AA107" s="4" t="s">
        <v>43</v>
      </c>
      <c r="AB107" s="4">
        <v>10</v>
      </c>
    </row>
    <row r="108" spans="1:28" ht="22.5" customHeight="1" x14ac:dyDescent="0.25">
      <c r="A108" s="3">
        <v>46131.723754826387</v>
      </c>
      <c r="B108" s="4" t="s">
        <v>528</v>
      </c>
      <c r="C108" s="4" t="s">
        <v>29</v>
      </c>
      <c r="D108" s="4" t="s">
        <v>46</v>
      </c>
      <c r="E108" s="4" t="s">
        <v>31</v>
      </c>
      <c r="F108" s="4" t="s">
        <v>529</v>
      </c>
      <c r="G108" s="4" t="s">
        <v>127</v>
      </c>
      <c r="H108" s="4" t="s">
        <v>78</v>
      </c>
      <c r="I108" s="4" t="s">
        <v>71</v>
      </c>
      <c r="J108" s="4" t="s">
        <v>47</v>
      </c>
      <c r="K108" s="4" t="s">
        <v>34</v>
      </c>
      <c r="L108" s="4" t="s">
        <v>530</v>
      </c>
      <c r="M108" s="4" t="s">
        <v>39</v>
      </c>
      <c r="N108" s="4" t="s">
        <v>531</v>
      </c>
      <c r="O108" s="4">
        <v>8</v>
      </c>
      <c r="P108" s="4" t="s">
        <v>34</v>
      </c>
      <c r="Q108" s="4" t="s">
        <v>42</v>
      </c>
      <c r="R108" s="4" t="s">
        <v>42</v>
      </c>
      <c r="S108" s="4" t="s">
        <v>34</v>
      </c>
      <c r="T108" s="4" t="s">
        <v>42</v>
      </c>
      <c r="U108" s="4" t="s">
        <v>42</v>
      </c>
      <c r="V108" s="4" t="s">
        <v>42</v>
      </c>
      <c r="W108" s="4" t="s">
        <v>42</v>
      </c>
      <c r="X108" s="4" t="s">
        <v>37</v>
      </c>
      <c r="Y108" s="4" t="s">
        <v>43</v>
      </c>
      <c r="Z108" s="4" t="s">
        <v>75</v>
      </c>
      <c r="AA108" s="4" t="s">
        <v>532</v>
      </c>
      <c r="AB108" s="4">
        <v>6</v>
      </c>
    </row>
    <row r="109" spans="1:28" ht="22.5" customHeight="1" x14ac:dyDescent="0.25">
      <c r="A109" s="3">
        <v>46131.724627870368</v>
      </c>
      <c r="B109" s="4" t="s">
        <v>533</v>
      </c>
      <c r="C109" s="4" t="s">
        <v>29</v>
      </c>
      <c r="D109" s="4" t="s">
        <v>46</v>
      </c>
      <c r="E109" s="4" t="s">
        <v>31</v>
      </c>
      <c r="F109" s="4" t="s">
        <v>34</v>
      </c>
      <c r="G109" s="4" t="s">
        <v>34</v>
      </c>
      <c r="H109" s="4" t="s">
        <v>34</v>
      </c>
      <c r="I109" s="4" t="s">
        <v>32</v>
      </c>
      <c r="J109" s="4" t="s">
        <v>316</v>
      </c>
      <c r="K109" s="4" t="s">
        <v>34</v>
      </c>
      <c r="L109" s="4" t="s">
        <v>534</v>
      </c>
      <c r="M109" s="4" t="s">
        <v>39</v>
      </c>
      <c r="N109" s="4" t="s">
        <v>535</v>
      </c>
      <c r="O109" s="4">
        <v>3</v>
      </c>
      <c r="P109" s="4" t="s">
        <v>34</v>
      </c>
      <c r="Q109" s="4" t="s">
        <v>34</v>
      </c>
      <c r="R109" s="4" t="s">
        <v>34</v>
      </c>
      <c r="S109" s="4" t="s">
        <v>34</v>
      </c>
      <c r="T109" s="4" t="s">
        <v>34</v>
      </c>
      <c r="U109" s="4" t="s">
        <v>34</v>
      </c>
      <c r="V109" s="4" t="s">
        <v>34</v>
      </c>
      <c r="W109" s="4" t="s">
        <v>34</v>
      </c>
      <c r="X109" s="4" t="s">
        <v>34</v>
      </c>
      <c r="Y109" s="4" t="s">
        <v>43</v>
      </c>
      <c r="Z109" s="4" t="s">
        <v>34</v>
      </c>
      <c r="AA109" s="4" t="s">
        <v>536</v>
      </c>
      <c r="AB109" s="4">
        <v>9</v>
      </c>
    </row>
    <row r="110" spans="1:28" ht="22.5" customHeight="1" x14ac:dyDescent="0.25">
      <c r="A110" s="3">
        <v>46131.733141770834</v>
      </c>
      <c r="B110" s="4" t="s">
        <v>537</v>
      </c>
      <c r="C110" s="4" t="s">
        <v>29</v>
      </c>
      <c r="D110" s="4" t="s">
        <v>46</v>
      </c>
      <c r="E110" s="4" t="s">
        <v>389</v>
      </c>
      <c r="F110" s="4" t="s">
        <v>32</v>
      </c>
      <c r="G110" s="4" t="s">
        <v>34</v>
      </c>
      <c r="H110" s="4" t="s">
        <v>100</v>
      </c>
      <c r="I110" s="4" t="s">
        <v>34</v>
      </c>
      <c r="J110" s="4" t="s">
        <v>60</v>
      </c>
      <c r="K110" s="4" t="s">
        <v>34</v>
      </c>
      <c r="L110" s="4" t="s">
        <v>538</v>
      </c>
      <c r="M110" s="4" t="s">
        <v>39</v>
      </c>
      <c r="N110" s="4" t="s">
        <v>539</v>
      </c>
      <c r="O110" s="4">
        <v>10</v>
      </c>
      <c r="P110" s="4" t="s">
        <v>41</v>
      </c>
      <c r="Q110" s="4" t="s">
        <v>34</v>
      </c>
      <c r="R110" s="4" t="s">
        <v>34</v>
      </c>
      <c r="S110" s="4" t="s">
        <v>42</v>
      </c>
      <c r="T110" s="4" t="s">
        <v>34</v>
      </c>
      <c r="U110" s="4" t="s">
        <v>34</v>
      </c>
      <c r="V110" s="4" t="s">
        <v>34</v>
      </c>
      <c r="W110" s="4" t="s">
        <v>34</v>
      </c>
      <c r="X110" s="4" t="s">
        <v>34</v>
      </c>
      <c r="Y110" s="4" t="s">
        <v>39</v>
      </c>
      <c r="Z110" s="4" t="s">
        <v>34</v>
      </c>
      <c r="AA110" s="4" t="s">
        <v>540</v>
      </c>
      <c r="AB110" s="4">
        <v>7</v>
      </c>
    </row>
    <row r="111" spans="1:28" ht="22.5" customHeight="1" x14ac:dyDescent="0.25">
      <c r="A111" s="3">
        <v>46131.735604780093</v>
      </c>
      <c r="B111" s="4" t="s">
        <v>541</v>
      </c>
      <c r="C111" s="4" t="s">
        <v>29</v>
      </c>
      <c r="D111" s="4" t="s">
        <v>46</v>
      </c>
      <c r="E111" s="4" t="s">
        <v>31</v>
      </c>
      <c r="F111" s="4" t="s">
        <v>71</v>
      </c>
      <c r="G111" s="4" t="s">
        <v>71</v>
      </c>
      <c r="H111" s="4" t="s">
        <v>41</v>
      </c>
      <c r="I111" s="4" t="s">
        <v>71</v>
      </c>
      <c r="J111" s="4" t="s">
        <v>60</v>
      </c>
      <c r="K111" s="4" t="s">
        <v>41</v>
      </c>
      <c r="L111" s="4" t="s">
        <v>55</v>
      </c>
      <c r="M111" s="4" t="s">
        <v>39</v>
      </c>
      <c r="N111" s="4" t="s">
        <v>542</v>
      </c>
      <c r="O111" s="4">
        <v>3</v>
      </c>
      <c r="P111" s="4" t="s">
        <v>41</v>
      </c>
      <c r="Q111" s="4" t="s">
        <v>42</v>
      </c>
      <c r="R111" s="4" t="s">
        <v>42</v>
      </c>
      <c r="S111" s="4" t="s">
        <v>42</v>
      </c>
      <c r="T111" s="4" t="s">
        <v>42</v>
      </c>
      <c r="U111" s="4" t="s">
        <v>42</v>
      </c>
      <c r="V111" s="4" t="s">
        <v>42</v>
      </c>
      <c r="W111" s="4" t="s">
        <v>42</v>
      </c>
      <c r="X111" s="4" t="s">
        <v>42</v>
      </c>
      <c r="Y111" s="4" t="s">
        <v>39</v>
      </c>
      <c r="Z111" s="4" t="s">
        <v>71</v>
      </c>
      <c r="AA111" s="4" t="s">
        <v>543</v>
      </c>
      <c r="AB111" s="4">
        <v>1</v>
      </c>
    </row>
    <row r="112" spans="1:28" ht="22.5" customHeight="1" x14ac:dyDescent="0.25">
      <c r="A112" s="3">
        <v>46131.739484375001</v>
      </c>
      <c r="B112" s="4" t="s">
        <v>544</v>
      </c>
      <c r="C112" s="4" t="s">
        <v>29</v>
      </c>
      <c r="D112" s="4" t="s">
        <v>46</v>
      </c>
      <c r="E112" s="4" t="s">
        <v>31</v>
      </c>
      <c r="F112" s="4" t="s">
        <v>92</v>
      </c>
      <c r="G112" s="4" t="s">
        <v>66</v>
      </c>
      <c r="H112" s="4" t="s">
        <v>148</v>
      </c>
      <c r="I112" s="4" t="s">
        <v>37</v>
      </c>
      <c r="J112" s="4" t="s">
        <v>36</v>
      </c>
      <c r="K112" s="4" t="s">
        <v>41</v>
      </c>
      <c r="L112" s="4" t="s">
        <v>545</v>
      </c>
      <c r="M112" s="4" t="s">
        <v>39</v>
      </c>
      <c r="N112" s="4" t="s">
        <v>546</v>
      </c>
      <c r="O112" s="4">
        <v>9</v>
      </c>
      <c r="P112" s="4" t="s">
        <v>55</v>
      </c>
      <c r="Q112" s="4" t="s">
        <v>42</v>
      </c>
      <c r="R112" s="4" t="s">
        <v>37</v>
      </c>
      <c r="S112" s="4" t="s">
        <v>42</v>
      </c>
      <c r="T112" s="4" t="s">
        <v>37</v>
      </c>
      <c r="U112" s="4" t="s">
        <v>37</v>
      </c>
      <c r="V112" s="4" t="s">
        <v>37</v>
      </c>
      <c r="W112" s="4" t="s">
        <v>37</v>
      </c>
      <c r="X112" s="4" t="s">
        <v>37</v>
      </c>
      <c r="Y112" s="4" t="s">
        <v>39</v>
      </c>
      <c r="Z112" s="4" t="s">
        <v>34</v>
      </c>
      <c r="AA112" s="4" t="s">
        <v>547</v>
      </c>
      <c r="AB112" s="4">
        <v>7</v>
      </c>
    </row>
    <row r="113" spans="1:28" ht="22.5" customHeight="1" x14ac:dyDescent="0.25">
      <c r="A113" s="3">
        <v>46131.73972380787</v>
      </c>
      <c r="B113" s="4" t="s">
        <v>548</v>
      </c>
      <c r="C113" s="4" t="s">
        <v>29</v>
      </c>
      <c r="D113" s="4" t="s">
        <v>46</v>
      </c>
      <c r="E113" s="4" t="s">
        <v>549</v>
      </c>
      <c r="F113" s="4" t="s">
        <v>550</v>
      </c>
      <c r="G113" s="4" t="s">
        <v>71</v>
      </c>
      <c r="H113" s="4" t="s">
        <v>41</v>
      </c>
      <c r="I113" s="4" t="s">
        <v>71</v>
      </c>
      <c r="J113" s="4" t="s">
        <v>197</v>
      </c>
      <c r="K113" s="4" t="s">
        <v>41</v>
      </c>
      <c r="L113" s="4" t="s">
        <v>551</v>
      </c>
      <c r="M113" s="4" t="s">
        <v>43</v>
      </c>
      <c r="N113" s="4" t="s">
        <v>552</v>
      </c>
      <c r="O113" s="4">
        <v>8</v>
      </c>
      <c r="P113" s="4" t="s">
        <v>553</v>
      </c>
      <c r="Q113" s="4" t="s">
        <v>42</v>
      </c>
      <c r="R113" s="4" t="s">
        <v>34</v>
      </c>
      <c r="S113" s="4" t="s">
        <v>42</v>
      </c>
      <c r="T113" s="4" t="s">
        <v>42</v>
      </c>
      <c r="U113" s="4" t="s">
        <v>42</v>
      </c>
      <c r="V113" s="4" t="s">
        <v>42</v>
      </c>
      <c r="W113" s="4" t="s">
        <v>34</v>
      </c>
      <c r="X113" s="4" t="s">
        <v>37</v>
      </c>
      <c r="Y113" s="4" t="s">
        <v>43</v>
      </c>
      <c r="Z113" s="4" t="s">
        <v>75</v>
      </c>
      <c r="AA113" s="4" t="s">
        <v>554</v>
      </c>
      <c r="AB113" s="4">
        <v>5</v>
      </c>
    </row>
    <row r="114" spans="1:28" ht="22.5" customHeight="1" x14ac:dyDescent="0.25">
      <c r="A114" s="3">
        <v>46131.745437025464</v>
      </c>
      <c r="B114" s="4" t="s">
        <v>555</v>
      </c>
      <c r="C114" s="4" t="s">
        <v>84</v>
      </c>
      <c r="D114" s="4" t="s">
        <v>46</v>
      </c>
      <c r="E114" s="4" t="s">
        <v>350</v>
      </c>
      <c r="F114" s="4" t="s">
        <v>34</v>
      </c>
      <c r="G114" s="4" t="s">
        <v>71</v>
      </c>
      <c r="H114" s="4" t="s">
        <v>41</v>
      </c>
      <c r="I114" s="4" t="s">
        <v>71</v>
      </c>
      <c r="J114" s="4" t="s">
        <v>60</v>
      </c>
      <c r="K114" s="4" t="s">
        <v>61</v>
      </c>
      <c r="L114" s="4" t="s">
        <v>556</v>
      </c>
      <c r="M114" s="4" t="s">
        <v>39</v>
      </c>
      <c r="N114" s="4" t="s">
        <v>132</v>
      </c>
      <c r="O114" s="4">
        <v>9</v>
      </c>
      <c r="P114" s="4" t="s">
        <v>37</v>
      </c>
      <c r="Q114" s="4" t="s">
        <v>42</v>
      </c>
      <c r="R114" s="4" t="s">
        <v>42</v>
      </c>
      <c r="S114" s="4" t="s">
        <v>42</v>
      </c>
      <c r="T114" s="4" t="s">
        <v>42</v>
      </c>
      <c r="U114" s="4" t="s">
        <v>42</v>
      </c>
      <c r="V114" s="4" t="s">
        <v>42</v>
      </c>
      <c r="W114" s="4" t="s">
        <v>42</v>
      </c>
      <c r="X114" s="4" t="s">
        <v>42</v>
      </c>
      <c r="Y114" s="4" t="s">
        <v>39</v>
      </c>
      <c r="Z114" s="4" t="s">
        <v>34</v>
      </c>
      <c r="AA114" s="4" t="s">
        <v>557</v>
      </c>
      <c r="AB114" s="4">
        <v>8</v>
      </c>
    </row>
    <row r="115" spans="1:28" ht="22.5" customHeight="1" x14ac:dyDescent="0.25">
      <c r="A115" s="3">
        <v>46131.752289849537</v>
      </c>
      <c r="B115" s="4" t="s">
        <v>558</v>
      </c>
      <c r="C115" s="4" t="s">
        <v>84</v>
      </c>
      <c r="D115" s="4" t="s">
        <v>46</v>
      </c>
      <c r="E115" s="4" t="s">
        <v>31</v>
      </c>
      <c r="F115" s="4" t="s">
        <v>247</v>
      </c>
      <c r="G115" s="4" t="s">
        <v>105</v>
      </c>
      <c r="H115" s="4" t="s">
        <v>55</v>
      </c>
      <c r="I115" s="4" t="s">
        <v>55</v>
      </c>
      <c r="J115" s="4" t="s">
        <v>72</v>
      </c>
      <c r="K115" s="4" t="s">
        <v>41</v>
      </c>
      <c r="L115" s="4" t="s">
        <v>559</v>
      </c>
      <c r="M115" s="4" t="s">
        <v>39</v>
      </c>
      <c r="N115" s="4" t="s">
        <v>560</v>
      </c>
      <c r="O115" s="4">
        <v>7</v>
      </c>
      <c r="P115" s="4" t="s">
        <v>317</v>
      </c>
      <c r="Q115" s="4" t="s">
        <v>55</v>
      </c>
      <c r="R115" s="4" t="s">
        <v>55</v>
      </c>
      <c r="S115" s="4" t="s">
        <v>55</v>
      </c>
      <c r="T115" s="4" t="s">
        <v>55</v>
      </c>
      <c r="U115" s="4" t="s">
        <v>55</v>
      </c>
      <c r="V115" s="4" t="s">
        <v>55</v>
      </c>
      <c r="W115" s="4" t="s">
        <v>55</v>
      </c>
      <c r="X115" s="4" t="s">
        <v>55</v>
      </c>
      <c r="Y115" s="4" t="s">
        <v>43</v>
      </c>
      <c r="Z115" s="4" t="s">
        <v>75</v>
      </c>
      <c r="AA115" s="4" t="s">
        <v>561</v>
      </c>
      <c r="AB115" s="4">
        <v>4</v>
      </c>
    </row>
    <row r="116" spans="1:28" ht="22.5" customHeight="1" x14ac:dyDescent="0.25">
      <c r="A116" s="3">
        <v>46131.752434467591</v>
      </c>
      <c r="B116" s="4" t="s">
        <v>562</v>
      </c>
      <c r="C116" s="4" t="s">
        <v>563</v>
      </c>
      <c r="D116" s="4" t="s">
        <v>46</v>
      </c>
      <c r="E116" s="4" t="s">
        <v>31</v>
      </c>
      <c r="F116" s="4" t="s">
        <v>71</v>
      </c>
      <c r="G116" s="4" t="s">
        <v>93</v>
      </c>
      <c r="H116" s="4" t="s">
        <v>37</v>
      </c>
      <c r="I116" s="4" t="s">
        <v>37</v>
      </c>
      <c r="J116" s="4" t="s">
        <v>60</v>
      </c>
      <c r="K116" s="4" t="s">
        <v>41</v>
      </c>
      <c r="L116" s="4" t="s">
        <v>564</v>
      </c>
      <c r="M116" s="4" t="s">
        <v>39</v>
      </c>
      <c r="N116" s="4" t="s">
        <v>565</v>
      </c>
      <c r="O116" s="4">
        <v>10</v>
      </c>
      <c r="P116" s="4" t="s">
        <v>41</v>
      </c>
      <c r="Q116" s="4" t="s">
        <v>42</v>
      </c>
      <c r="R116" s="4" t="s">
        <v>42</v>
      </c>
      <c r="S116" s="4" t="s">
        <v>42</v>
      </c>
      <c r="T116" s="4" t="s">
        <v>42</v>
      </c>
      <c r="U116" s="4" t="s">
        <v>42</v>
      </c>
      <c r="V116" s="4" t="s">
        <v>42</v>
      </c>
      <c r="W116" s="4" t="s">
        <v>42</v>
      </c>
      <c r="X116" s="4" t="s">
        <v>42</v>
      </c>
      <c r="Y116" s="4" t="s">
        <v>39</v>
      </c>
      <c r="Z116" s="4" t="s">
        <v>34</v>
      </c>
      <c r="AA116" s="4" t="s">
        <v>566</v>
      </c>
      <c r="AB116" s="4">
        <v>10</v>
      </c>
    </row>
    <row r="117" spans="1:28" ht="22.5" customHeight="1" x14ac:dyDescent="0.25">
      <c r="A117" s="3">
        <v>46131.754449976856</v>
      </c>
      <c r="B117" s="4" t="s">
        <v>567</v>
      </c>
      <c r="C117" s="4" t="s">
        <v>84</v>
      </c>
      <c r="D117" s="4" t="s">
        <v>46</v>
      </c>
      <c r="E117" s="4" t="s">
        <v>31</v>
      </c>
      <c r="F117" s="4" t="s">
        <v>529</v>
      </c>
      <c r="G117" s="4" t="s">
        <v>127</v>
      </c>
      <c r="H117" s="4" t="s">
        <v>41</v>
      </c>
      <c r="I117" s="4" t="s">
        <v>71</v>
      </c>
      <c r="J117" s="4" t="s">
        <v>72</v>
      </c>
      <c r="K117" s="4" t="s">
        <v>34</v>
      </c>
      <c r="L117" s="4" t="s">
        <v>568</v>
      </c>
      <c r="M117" s="4" t="s">
        <v>39</v>
      </c>
      <c r="N117" s="4" t="s">
        <v>569</v>
      </c>
      <c r="O117" s="4">
        <v>10</v>
      </c>
      <c r="P117" s="4" t="s">
        <v>34</v>
      </c>
      <c r="Q117" s="4" t="s">
        <v>42</v>
      </c>
      <c r="R117" s="4" t="s">
        <v>42</v>
      </c>
      <c r="S117" s="4" t="s">
        <v>42</v>
      </c>
      <c r="T117" s="4" t="s">
        <v>42</v>
      </c>
      <c r="U117" s="4" t="s">
        <v>42</v>
      </c>
      <c r="V117" s="4" t="s">
        <v>42</v>
      </c>
      <c r="W117" s="4" t="s">
        <v>42</v>
      </c>
      <c r="X117" s="4" t="s">
        <v>42</v>
      </c>
      <c r="Y117" s="4" t="s">
        <v>43</v>
      </c>
      <c r="Z117" s="4" t="s">
        <v>34</v>
      </c>
      <c r="AA117" s="4" t="s">
        <v>570</v>
      </c>
      <c r="AB117" s="4">
        <v>10</v>
      </c>
    </row>
    <row r="118" spans="1:28" ht="22.5" customHeight="1" x14ac:dyDescent="0.25">
      <c r="A118" s="3">
        <v>46131.756275092594</v>
      </c>
      <c r="B118" s="4" t="s">
        <v>571</v>
      </c>
      <c r="C118" s="4" t="s">
        <v>84</v>
      </c>
      <c r="D118" s="4" t="s">
        <v>204</v>
      </c>
      <c r="E118" s="4" t="s">
        <v>31</v>
      </c>
      <c r="F118" s="4" t="s">
        <v>41</v>
      </c>
      <c r="G118" s="4" t="s">
        <v>71</v>
      </c>
      <c r="H118" s="4" t="s">
        <v>41</v>
      </c>
      <c r="I118" s="4" t="s">
        <v>71</v>
      </c>
      <c r="J118" s="4" t="s">
        <v>60</v>
      </c>
      <c r="K118" s="4" t="s">
        <v>41</v>
      </c>
      <c r="L118" s="4" t="s">
        <v>572</v>
      </c>
      <c r="M118" s="4" t="s">
        <v>39</v>
      </c>
      <c r="N118" s="4" t="s">
        <v>573</v>
      </c>
      <c r="O118" s="4">
        <v>9</v>
      </c>
      <c r="P118" s="4" t="s">
        <v>574</v>
      </c>
      <c r="Q118" s="4" t="s">
        <v>42</v>
      </c>
      <c r="R118" s="4" t="s">
        <v>42</v>
      </c>
      <c r="S118" s="4" t="s">
        <v>42</v>
      </c>
      <c r="T118" s="4" t="s">
        <v>42</v>
      </c>
      <c r="U118" s="4" t="s">
        <v>42</v>
      </c>
      <c r="V118" s="4" t="s">
        <v>42</v>
      </c>
      <c r="W118" s="4" t="s">
        <v>42</v>
      </c>
      <c r="X118" s="4" t="s">
        <v>42</v>
      </c>
      <c r="Y118" s="4" t="s">
        <v>43</v>
      </c>
      <c r="Z118" s="4" t="s">
        <v>75</v>
      </c>
      <c r="AA118" s="4" t="s">
        <v>575</v>
      </c>
      <c r="AB118" s="4">
        <v>3</v>
      </c>
    </row>
    <row r="119" spans="1:28" ht="22.5" customHeight="1" x14ac:dyDescent="0.25">
      <c r="A119" s="3">
        <v>46131.769041469903</v>
      </c>
      <c r="B119" s="4" t="s">
        <v>576</v>
      </c>
      <c r="C119" s="4" t="s">
        <v>84</v>
      </c>
      <c r="D119" s="4" t="s">
        <v>46</v>
      </c>
      <c r="E119" s="4" t="s">
        <v>31</v>
      </c>
      <c r="F119" s="4" t="s">
        <v>71</v>
      </c>
      <c r="G119" s="4" t="s">
        <v>127</v>
      </c>
      <c r="H119" s="4" t="s">
        <v>78</v>
      </c>
      <c r="I119" s="4" t="s">
        <v>71</v>
      </c>
      <c r="J119" s="4" t="s">
        <v>60</v>
      </c>
      <c r="K119" s="4" t="s">
        <v>34</v>
      </c>
      <c r="L119" s="4" t="s">
        <v>577</v>
      </c>
      <c r="M119" s="4" t="s">
        <v>39</v>
      </c>
      <c r="N119" s="4" t="s">
        <v>578</v>
      </c>
      <c r="O119" s="4">
        <v>7</v>
      </c>
      <c r="P119" s="4" t="s">
        <v>34</v>
      </c>
      <c r="Q119" s="4" t="s">
        <v>42</v>
      </c>
      <c r="R119" s="4" t="s">
        <v>42</v>
      </c>
      <c r="S119" s="4" t="s">
        <v>42</v>
      </c>
      <c r="T119" s="4" t="s">
        <v>42</v>
      </c>
      <c r="U119" s="4" t="s">
        <v>42</v>
      </c>
      <c r="V119" s="4" t="s">
        <v>42</v>
      </c>
      <c r="W119" s="4" t="s">
        <v>42</v>
      </c>
      <c r="X119" s="4" t="s">
        <v>42</v>
      </c>
      <c r="Y119" s="4" t="s">
        <v>89</v>
      </c>
      <c r="Z119" s="4" t="s">
        <v>75</v>
      </c>
      <c r="AA119" s="4" t="s">
        <v>579</v>
      </c>
      <c r="AB119" s="4">
        <v>5</v>
      </c>
    </row>
    <row r="120" spans="1:28" ht="22.5" customHeight="1" x14ac:dyDescent="0.25">
      <c r="A120" s="3">
        <v>46131.790737326388</v>
      </c>
      <c r="B120" s="4" t="s">
        <v>580</v>
      </c>
      <c r="C120" s="4" t="s">
        <v>29</v>
      </c>
      <c r="D120" s="4" t="s">
        <v>46</v>
      </c>
      <c r="E120" s="4" t="s">
        <v>31</v>
      </c>
      <c r="F120" s="4" t="s">
        <v>154</v>
      </c>
      <c r="G120" s="4" t="s">
        <v>34</v>
      </c>
      <c r="H120" s="4" t="s">
        <v>34</v>
      </c>
      <c r="I120" s="4" t="s">
        <v>34</v>
      </c>
      <c r="J120" s="4" t="s">
        <v>316</v>
      </c>
      <c r="K120" s="4" t="s">
        <v>34</v>
      </c>
      <c r="L120" s="4" t="s">
        <v>581</v>
      </c>
      <c r="M120" s="4" t="s">
        <v>39</v>
      </c>
      <c r="N120" s="4" t="s">
        <v>582</v>
      </c>
      <c r="O120" s="4">
        <v>8</v>
      </c>
      <c r="P120" s="4" t="s">
        <v>34</v>
      </c>
      <c r="Q120" s="4" t="s">
        <v>34</v>
      </c>
      <c r="R120" s="4" t="s">
        <v>34</v>
      </c>
      <c r="S120" s="4" t="s">
        <v>34</v>
      </c>
      <c r="T120" s="4" t="s">
        <v>34</v>
      </c>
      <c r="U120" s="4" t="s">
        <v>34</v>
      </c>
      <c r="V120" s="4" t="s">
        <v>34</v>
      </c>
      <c r="W120" s="4" t="s">
        <v>34</v>
      </c>
      <c r="X120" s="4" t="s">
        <v>34</v>
      </c>
      <c r="Y120" s="4" t="s">
        <v>89</v>
      </c>
      <c r="Z120" s="4" t="s">
        <v>34</v>
      </c>
      <c r="AA120" s="4" t="s">
        <v>583</v>
      </c>
      <c r="AB120" s="4">
        <v>9</v>
      </c>
    </row>
    <row r="121" spans="1:28" ht="22.5" customHeight="1" x14ac:dyDescent="0.25">
      <c r="A121" s="3">
        <v>46131.793099884264</v>
      </c>
      <c r="B121" s="4" t="s">
        <v>584</v>
      </c>
      <c r="C121" s="4" t="s">
        <v>29</v>
      </c>
      <c r="D121" s="4" t="s">
        <v>46</v>
      </c>
      <c r="E121" s="4" t="s">
        <v>31</v>
      </c>
      <c r="F121" s="4" t="s">
        <v>71</v>
      </c>
      <c r="G121" s="4" t="s">
        <v>85</v>
      </c>
      <c r="H121" s="4" t="s">
        <v>78</v>
      </c>
      <c r="I121" s="4" t="s">
        <v>34</v>
      </c>
      <c r="J121" s="4" t="s">
        <v>72</v>
      </c>
      <c r="K121" s="4" t="s">
        <v>34</v>
      </c>
      <c r="L121" s="4" t="s">
        <v>585</v>
      </c>
      <c r="M121" s="4" t="s">
        <v>39</v>
      </c>
      <c r="N121" s="4" t="s">
        <v>586</v>
      </c>
      <c r="O121" s="4">
        <v>8</v>
      </c>
      <c r="P121" s="4" t="s">
        <v>34</v>
      </c>
      <c r="Q121" s="4" t="s">
        <v>34</v>
      </c>
      <c r="R121" s="4" t="s">
        <v>34</v>
      </c>
      <c r="S121" s="4" t="s">
        <v>34</v>
      </c>
      <c r="T121" s="4" t="s">
        <v>34</v>
      </c>
      <c r="U121" s="4" t="s">
        <v>34</v>
      </c>
      <c r="V121" s="4" t="s">
        <v>37</v>
      </c>
      <c r="W121" s="4" t="s">
        <v>34</v>
      </c>
      <c r="X121" s="4" t="s">
        <v>37</v>
      </c>
      <c r="Y121" s="4" t="s">
        <v>43</v>
      </c>
      <c r="Z121" s="4" t="s">
        <v>75</v>
      </c>
      <c r="AA121" s="4" t="s">
        <v>587</v>
      </c>
      <c r="AB121" s="4">
        <v>3</v>
      </c>
    </row>
    <row r="122" spans="1:28" ht="22.5" customHeight="1" x14ac:dyDescent="0.25">
      <c r="A122" s="3">
        <v>46131.794708217596</v>
      </c>
      <c r="B122" s="4" t="s">
        <v>588</v>
      </c>
      <c r="C122" s="4" t="s">
        <v>29</v>
      </c>
      <c r="D122" s="4" t="s">
        <v>46</v>
      </c>
      <c r="E122" s="4" t="s">
        <v>31</v>
      </c>
      <c r="F122" s="4" t="s">
        <v>34</v>
      </c>
      <c r="G122" s="4" t="s">
        <v>114</v>
      </c>
      <c r="H122" s="4" t="s">
        <v>114</v>
      </c>
      <c r="I122" s="4" t="s">
        <v>55</v>
      </c>
      <c r="J122" s="4" t="s">
        <v>60</v>
      </c>
      <c r="K122" s="4" t="s">
        <v>34</v>
      </c>
      <c r="L122" s="4" t="s">
        <v>589</v>
      </c>
      <c r="M122" s="4" t="s">
        <v>39</v>
      </c>
      <c r="N122" s="4" t="s">
        <v>590</v>
      </c>
      <c r="O122" s="4">
        <v>8</v>
      </c>
      <c r="P122" s="4" t="s">
        <v>41</v>
      </c>
      <c r="Q122" s="4" t="s">
        <v>55</v>
      </c>
      <c r="R122" s="4" t="s">
        <v>55</v>
      </c>
      <c r="S122" s="4" t="s">
        <v>42</v>
      </c>
      <c r="T122" s="4" t="s">
        <v>55</v>
      </c>
      <c r="U122" s="4" t="s">
        <v>55</v>
      </c>
      <c r="V122" s="4" t="s">
        <v>55</v>
      </c>
      <c r="W122" s="4" t="s">
        <v>55</v>
      </c>
      <c r="X122" s="4" t="s">
        <v>55</v>
      </c>
      <c r="Y122" s="4" t="s">
        <v>43</v>
      </c>
      <c r="Z122" s="4" t="s">
        <v>75</v>
      </c>
      <c r="AA122" s="4" t="s">
        <v>591</v>
      </c>
      <c r="AB122" s="4">
        <v>1</v>
      </c>
    </row>
    <row r="123" spans="1:28" ht="22.5" customHeight="1" x14ac:dyDescent="0.25">
      <c r="A123" s="3">
        <v>46131.797355428236</v>
      </c>
      <c r="B123" s="4" t="s">
        <v>592</v>
      </c>
      <c r="C123" s="4" t="s">
        <v>29</v>
      </c>
      <c r="D123" s="4" t="s">
        <v>46</v>
      </c>
      <c r="E123" s="4" t="s">
        <v>31</v>
      </c>
      <c r="F123" s="4" t="s">
        <v>34</v>
      </c>
      <c r="G123" s="4" t="s">
        <v>34</v>
      </c>
      <c r="H123" s="4" t="s">
        <v>34</v>
      </c>
      <c r="I123" s="4" t="s">
        <v>34</v>
      </c>
      <c r="J123" s="4" t="s">
        <v>60</v>
      </c>
      <c r="K123" s="4" t="s">
        <v>41</v>
      </c>
      <c r="L123" s="4" t="s">
        <v>593</v>
      </c>
      <c r="M123" s="4" t="s">
        <v>39</v>
      </c>
      <c r="N123" s="4" t="s">
        <v>594</v>
      </c>
      <c r="O123" s="4">
        <v>8</v>
      </c>
      <c r="P123" s="4" t="s">
        <v>41</v>
      </c>
      <c r="Q123" s="4" t="s">
        <v>34</v>
      </c>
      <c r="R123" s="4" t="s">
        <v>42</v>
      </c>
      <c r="S123" s="4" t="s">
        <v>34</v>
      </c>
      <c r="T123" s="4" t="s">
        <v>34</v>
      </c>
      <c r="U123" s="4" t="s">
        <v>34</v>
      </c>
      <c r="V123" s="4" t="s">
        <v>34</v>
      </c>
      <c r="W123" s="4" t="s">
        <v>34</v>
      </c>
      <c r="X123" s="4" t="s">
        <v>34</v>
      </c>
      <c r="Y123" s="4" t="s">
        <v>43</v>
      </c>
      <c r="Z123" s="4" t="s">
        <v>75</v>
      </c>
      <c r="AA123" s="4" t="s">
        <v>595</v>
      </c>
      <c r="AB123" s="4">
        <v>6</v>
      </c>
    </row>
    <row r="124" spans="1:28" ht="22.5" customHeight="1" x14ac:dyDescent="0.25">
      <c r="A124" s="3">
        <v>46131.798254803245</v>
      </c>
      <c r="B124" s="4" t="s">
        <v>596</v>
      </c>
      <c r="C124" s="4" t="s">
        <v>84</v>
      </c>
      <c r="D124" s="4" t="s">
        <v>46</v>
      </c>
      <c r="E124" s="4" t="s">
        <v>31</v>
      </c>
      <c r="F124" s="4" t="s">
        <v>92</v>
      </c>
      <c r="G124" s="4" t="s">
        <v>71</v>
      </c>
      <c r="H124" s="4" t="s">
        <v>41</v>
      </c>
      <c r="I124" s="4" t="s">
        <v>71</v>
      </c>
      <c r="J124" s="4" t="s">
        <v>316</v>
      </c>
      <c r="K124" s="4" t="s">
        <v>41</v>
      </c>
      <c r="L124" s="4" t="s">
        <v>597</v>
      </c>
      <c r="M124" s="4" t="s">
        <v>39</v>
      </c>
      <c r="N124" s="4" t="s">
        <v>598</v>
      </c>
      <c r="O124" s="4">
        <v>8</v>
      </c>
      <c r="P124" s="4" t="s">
        <v>41</v>
      </c>
      <c r="Q124" s="4" t="s">
        <v>42</v>
      </c>
      <c r="R124" s="4" t="s">
        <v>42</v>
      </c>
      <c r="S124" s="4" t="s">
        <v>42</v>
      </c>
      <c r="T124" s="4" t="s">
        <v>42</v>
      </c>
      <c r="U124" s="4" t="s">
        <v>42</v>
      </c>
      <c r="V124" s="4" t="s">
        <v>42</v>
      </c>
      <c r="W124" s="4" t="s">
        <v>42</v>
      </c>
      <c r="X124" s="4" t="s">
        <v>42</v>
      </c>
      <c r="Y124" s="4" t="s">
        <v>43</v>
      </c>
      <c r="Z124" s="4" t="s">
        <v>75</v>
      </c>
      <c r="AA124" s="4" t="s">
        <v>599</v>
      </c>
      <c r="AB124" s="4">
        <v>7</v>
      </c>
    </row>
    <row r="125" spans="1:28" ht="22.5" customHeight="1" x14ac:dyDescent="0.25">
      <c r="A125" s="3">
        <v>46131.801100335651</v>
      </c>
      <c r="B125" s="4" t="s">
        <v>600</v>
      </c>
      <c r="C125" s="4" t="s">
        <v>29</v>
      </c>
      <c r="D125" s="4" t="s">
        <v>46</v>
      </c>
      <c r="E125" s="4" t="s">
        <v>31</v>
      </c>
      <c r="F125" s="4" t="s">
        <v>71</v>
      </c>
      <c r="G125" s="4" t="s">
        <v>120</v>
      </c>
      <c r="H125" s="4" t="s">
        <v>100</v>
      </c>
      <c r="I125" s="4" t="s">
        <v>71</v>
      </c>
      <c r="J125" s="4" t="s">
        <v>60</v>
      </c>
      <c r="K125" s="4" t="s">
        <v>34</v>
      </c>
      <c r="L125" s="4" t="s">
        <v>601</v>
      </c>
      <c r="M125" s="4" t="s">
        <v>39</v>
      </c>
      <c r="N125" s="4" t="s">
        <v>602</v>
      </c>
      <c r="O125" s="4">
        <v>10</v>
      </c>
      <c r="P125" s="4" t="s">
        <v>55</v>
      </c>
      <c r="Q125" s="4" t="s">
        <v>42</v>
      </c>
      <c r="R125" s="4" t="s">
        <v>42</v>
      </c>
      <c r="S125" s="4" t="s">
        <v>42</v>
      </c>
      <c r="T125" s="4" t="s">
        <v>42</v>
      </c>
      <c r="U125" s="4" t="s">
        <v>42</v>
      </c>
      <c r="V125" s="4" t="s">
        <v>42</v>
      </c>
      <c r="W125" s="4" t="s">
        <v>37</v>
      </c>
      <c r="X125" s="4" t="s">
        <v>37</v>
      </c>
      <c r="Y125" s="4" t="s">
        <v>43</v>
      </c>
      <c r="Z125" s="4" t="s">
        <v>75</v>
      </c>
      <c r="AA125" s="4" t="s">
        <v>603</v>
      </c>
      <c r="AB125" s="4">
        <v>5</v>
      </c>
    </row>
    <row r="126" spans="1:28" ht="22.5" customHeight="1" x14ac:dyDescent="0.25">
      <c r="A126" s="3">
        <v>46131.809573495368</v>
      </c>
      <c r="B126" s="4" t="s">
        <v>604</v>
      </c>
      <c r="C126" s="4" t="s">
        <v>84</v>
      </c>
      <c r="D126" s="4" t="s">
        <v>46</v>
      </c>
      <c r="E126" s="4" t="s">
        <v>31</v>
      </c>
      <c r="F126" s="4" t="s">
        <v>529</v>
      </c>
      <c r="G126" s="4" t="s">
        <v>127</v>
      </c>
      <c r="H126" s="4" t="s">
        <v>41</v>
      </c>
      <c r="I126" s="4" t="s">
        <v>71</v>
      </c>
      <c r="J126" s="4" t="s">
        <v>216</v>
      </c>
      <c r="K126" s="4" t="s">
        <v>41</v>
      </c>
      <c r="L126" s="4" t="s">
        <v>605</v>
      </c>
      <c r="M126" s="4" t="s">
        <v>39</v>
      </c>
      <c r="N126" s="4" t="s">
        <v>606</v>
      </c>
      <c r="O126" s="4">
        <v>8</v>
      </c>
      <c r="P126" s="4" t="s">
        <v>41</v>
      </c>
      <c r="Q126" s="4" t="s">
        <v>42</v>
      </c>
      <c r="R126" s="4" t="s">
        <v>42</v>
      </c>
      <c r="S126" s="4" t="s">
        <v>42</v>
      </c>
      <c r="T126" s="4" t="s">
        <v>42</v>
      </c>
      <c r="U126" s="4" t="s">
        <v>42</v>
      </c>
      <c r="V126" s="4" t="s">
        <v>42</v>
      </c>
      <c r="W126" s="4" t="s">
        <v>42</v>
      </c>
      <c r="X126" s="4" t="s">
        <v>42</v>
      </c>
      <c r="Y126" s="4" t="s">
        <v>43</v>
      </c>
      <c r="Z126" s="4" t="s">
        <v>75</v>
      </c>
      <c r="AA126" s="4" t="s">
        <v>607</v>
      </c>
      <c r="AB126" s="4">
        <v>5</v>
      </c>
    </row>
    <row r="127" spans="1:28" ht="22.5" customHeight="1" x14ac:dyDescent="0.25">
      <c r="A127" s="3">
        <v>46131.810996215281</v>
      </c>
      <c r="B127" s="4" t="s">
        <v>608</v>
      </c>
      <c r="C127" s="4" t="s">
        <v>29</v>
      </c>
      <c r="D127" s="4" t="s">
        <v>46</v>
      </c>
      <c r="E127" s="4" t="s">
        <v>389</v>
      </c>
      <c r="F127" s="4" t="s">
        <v>34</v>
      </c>
      <c r="G127" s="4" t="s">
        <v>142</v>
      </c>
      <c r="H127" s="4" t="s">
        <v>34</v>
      </c>
      <c r="I127" s="4" t="s">
        <v>34</v>
      </c>
      <c r="J127" s="4" t="s">
        <v>60</v>
      </c>
      <c r="K127" s="4" t="s">
        <v>34</v>
      </c>
      <c r="L127" s="4" t="s">
        <v>609</v>
      </c>
      <c r="M127" s="4" t="s">
        <v>39</v>
      </c>
      <c r="N127" s="4" t="s">
        <v>610</v>
      </c>
      <c r="O127" s="4">
        <v>10</v>
      </c>
      <c r="P127" s="4" t="s">
        <v>37</v>
      </c>
      <c r="Q127" s="4" t="s">
        <v>34</v>
      </c>
      <c r="R127" s="4" t="s">
        <v>34</v>
      </c>
      <c r="S127" s="4" t="s">
        <v>34</v>
      </c>
      <c r="T127" s="4" t="s">
        <v>34</v>
      </c>
      <c r="U127" s="4" t="s">
        <v>34</v>
      </c>
      <c r="V127" s="4" t="s">
        <v>37</v>
      </c>
      <c r="W127" s="4" t="s">
        <v>37</v>
      </c>
      <c r="X127" s="4" t="s">
        <v>37</v>
      </c>
      <c r="Y127" s="4" t="s">
        <v>39</v>
      </c>
      <c r="Z127" s="4" t="s">
        <v>34</v>
      </c>
      <c r="AA127" s="4" t="s">
        <v>611</v>
      </c>
      <c r="AB127" s="4">
        <v>10</v>
      </c>
    </row>
    <row r="128" spans="1:28" ht="22.5" customHeight="1" x14ac:dyDescent="0.25">
      <c r="A128" s="3">
        <v>46131.820602627311</v>
      </c>
      <c r="B128" s="4" t="s">
        <v>612</v>
      </c>
      <c r="C128" s="4" t="s">
        <v>29</v>
      </c>
      <c r="D128" s="4" t="s">
        <v>46</v>
      </c>
      <c r="E128" s="4" t="s">
        <v>31</v>
      </c>
      <c r="F128" s="4" t="s">
        <v>71</v>
      </c>
      <c r="G128" s="4" t="s">
        <v>66</v>
      </c>
      <c r="H128" s="4" t="s">
        <v>391</v>
      </c>
      <c r="I128" s="4" t="s">
        <v>55</v>
      </c>
      <c r="J128" s="4" t="s">
        <v>60</v>
      </c>
      <c r="K128" s="4" t="s">
        <v>41</v>
      </c>
      <c r="L128" s="4" t="s">
        <v>613</v>
      </c>
      <c r="M128" s="4" t="s">
        <v>39</v>
      </c>
      <c r="N128" s="4" t="s">
        <v>614</v>
      </c>
      <c r="O128" s="4">
        <v>10</v>
      </c>
      <c r="P128" s="4" t="s">
        <v>34</v>
      </c>
      <c r="Q128" s="4" t="s">
        <v>34</v>
      </c>
      <c r="R128" s="4" t="s">
        <v>34</v>
      </c>
      <c r="S128" s="4" t="s">
        <v>34</v>
      </c>
      <c r="T128" s="4" t="s">
        <v>34</v>
      </c>
      <c r="U128" s="4" t="s">
        <v>34</v>
      </c>
      <c r="V128" s="4" t="s">
        <v>34</v>
      </c>
      <c r="W128" s="4" t="s">
        <v>55</v>
      </c>
      <c r="X128" s="4" t="s">
        <v>55</v>
      </c>
      <c r="Y128" s="4" t="s">
        <v>39</v>
      </c>
      <c r="Z128" s="4" t="s">
        <v>34</v>
      </c>
      <c r="AA128" s="4" t="s">
        <v>615</v>
      </c>
      <c r="AB128" s="4">
        <v>5</v>
      </c>
    </row>
    <row r="129" spans="1:28" ht="22.5" customHeight="1" x14ac:dyDescent="0.25">
      <c r="A129" s="3">
        <v>46131.824151516208</v>
      </c>
      <c r="B129" s="4" t="s">
        <v>616</v>
      </c>
      <c r="C129" s="4" t="s">
        <v>29</v>
      </c>
      <c r="D129" s="4" t="s">
        <v>46</v>
      </c>
      <c r="E129" s="4" t="s">
        <v>31</v>
      </c>
      <c r="F129" s="4" t="s">
        <v>34</v>
      </c>
      <c r="G129" s="4" t="s">
        <v>59</v>
      </c>
      <c r="H129" s="4" t="s">
        <v>55</v>
      </c>
      <c r="I129" s="4" t="s">
        <v>34</v>
      </c>
      <c r="J129" s="4" t="s">
        <v>47</v>
      </c>
      <c r="K129" s="4" t="s">
        <v>41</v>
      </c>
      <c r="L129" s="4" t="s">
        <v>617</v>
      </c>
      <c r="M129" s="4" t="s">
        <v>39</v>
      </c>
      <c r="N129" s="4" t="s">
        <v>74</v>
      </c>
      <c r="O129" s="4">
        <v>8</v>
      </c>
      <c r="P129" s="4" t="s">
        <v>55</v>
      </c>
      <c r="Q129" s="4" t="s">
        <v>55</v>
      </c>
      <c r="R129" s="4" t="s">
        <v>55</v>
      </c>
      <c r="S129" s="4" t="s">
        <v>55</v>
      </c>
      <c r="T129" s="4" t="s">
        <v>42</v>
      </c>
      <c r="U129" s="4" t="s">
        <v>55</v>
      </c>
      <c r="V129" s="4" t="s">
        <v>55</v>
      </c>
      <c r="W129" s="4" t="s">
        <v>55</v>
      </c>
      <c r="X129" s="4" t="s">
        <v>55</v>
      </c>
      <c r="Y129" s="4" t="s">
        <v>89</v>
      </c>
      <c r="Z129" s="4" t="s">
        <v>34</v>
      </c>
      <c r="AA129" s="4" t="s">
        <v>618</v>
      </c>
      <c r="AB129" s="4">
        <v>5</v>
      </c>
    </row>
    <row r="130" spans="1:28" ht="22.5" customHeight="1" x14ac:dyDescent="0.25">
      <c r="A130" s="3">
        <v>46131.839936724537</v>
      </c>
      <c r="B130" s="4" t="s">
        <v>619</v>
      </c>
      <c r="C130" s="4" t="s">
        <v>29</v>
      </c>
      <c r="D130" s="4" t="s">
        <v>46</v>
      </c>
      <c r="E130" s="4" t="s">
        <v>31</v>
      </c>
      <c r="F130" s="4" t="s">
        <v>154</v>
      </c>
      <c r="G130" s="4" t="s">
        <v>37</v>
      </c>
      <c r="H130" s="4" t="s">
        <v>37</v>
      </c>
      <c r="I130" s="4" t="s">
        <v>37</v>
      </c>
      <c r="J130" s="4" t="s">
        <v>60</v>
      </c>
      <c r="K130" s="4" t="s">
        <v>37</v>
      </c>
      <c r="L130" s="4" t="s">
        <v>620</v>
      </c>
      <c r="M130" s="4" t="s">
        <v>39</v>
      </c>
      <c r="N130" s="4" t="s">
        <v>621</v>
      </c>
      <c r="O130" s="4">
        <v>6</v>
      </c>
      <c r="P130" s="4" t="s">
        <v>41</v>
      </c>
      <c r="Q130" s="4" t="s">
        <v>37</v>
      </c>
      <c r="R130" s="4" t="s">
        <v>42</v>
      </c>
      <c r="S130" s="4" t="s">
        <v>34</v>
      </c>
      <c r="T130" s="4" t="s">
        <v>42</v>
      </c>
      <c r="U130" s="4" t="s">
        <v>37</v>
      </c>
      <c r="V130" s="4" t="s">
        <v>42</v>
      </c>
      <c r="W130" s="4" t="s">
        <v>37</v>
      </c>
      <c r="X130" s="4" t="s">
        <v>37</v>
      </c>
      <c r="Y130" s="4" t="s">
        <v>43</v>
      </c>
      <c r="Z130" s="4" t="s">
        <v>75</v>
      </c>
      <c r="AA130" s="4" t="s">
        <v>622</v>
      </c>
      <c r="AB130" s="4">
        <v>3</v>
      </c>
    </row>
    <row r="131" spans="1:28" ht="22.5" customHeight="1" x14ac:dyDescent="0.25">
      <c r="A131" s="3">
        <v>46131.844756342594</v>
      </c>
      <c r="B131" s="4" t="s">
        <v>623</v>
      </c>
      <c r="C131" s="4" t="s">
        <v>29</v>
      </c>
      <c r="D131" s="4" t="s">
        <v>46</v>
      </c>
      <c r="E131" s="4" t="s">
        <v>31</v>
      </c>
      <c r="F131" s="4" t="s">
        <v>34</v>
      </c>
      <c r="G131" s="4" t="s">
        <v>59</v>
      </c>
      <c r="H131" s="4" t="s">
        <v>78</v>
      </c>
      <c r="I131" s="4" t="s">
        <v>34</v>
      </c>
      <c r="J131" s="4" t="s">
        <v>60</v>
      </c>
      <c r="K131" s="4" t="s">
        <v>34</v>
      </c>
      <c r="L131" s="4" t="s">
        <v>624</v>
      </c>
      <c r="M131" s="4" t="s">
        <v>39</v>
      </c>
      <c r="N131" s="4" t="s">
        <v>625</v>
      </c>
      <c r="O131" s="4">
        <v>8</v>
      </c>
      <c r="P131" s="4" t="s">
        <v>41</v>
      </c>
      <c r="Q131" s="4" t="s">
        <v>34</v>
      </c>
      <c r="R131" s="4" t="s">
        <v>34</v>
      </c>
      <c r="S131" s="4" t="s">
        <v>34</v>
      </c>
      <c r="T131" s="4" t="s">
        <v>34</v>
      </c>
      <c r="U131" s="4" t="s">
        <v>34</v>
      </c>
      <c r="V131" s="4" t="s">
        <v>34</v>
      </c>
      <c r="W131" s="4" t="s">
        <v>34</v>
      </c>
      <c r="X131" s="4" t="s">
        <v>55</v>
      </c>
      <c r="Y131" s="4" t="s">
        <v>39</v>
      </c>
      <c r="Z131" s="4" t="s">
        <v>34</v>
      </c>
      <c r="AA131" s="4" t="s">
        <v>626</v>
      </c>
      <c r="AB131" s="4">
        <v>9</v>
      </c>
    </row>
    <row r="132" spans="1:28" ht="22.5" customHeight="1" x14ac:dyDescent="0.25">
      <c r="A132" s="3">
        <v>46131.867164409719</v>
      </c>
      <c r="B132" s="4" t="s">
        <v>627</v>
      </c>
      <c r="C132" s="4" t="s">
        <v>29</v>
      </c>
      <c r="D132" s="4" t="s">
        <v>628</v>
      </c>
      <c r="E132" s="4" t="s">
        <v>629</v>
      </c>
      <c r="F132" s="4" t="s">
        <v>630</v>
      </c>
      <c r="G132" s="4" t="s">
        <v>71</v>
      </c>
      <c r="H132" s="4" t="s">
        <v>41</v>
      </c>
      <c r="I132" s="4" t="s">
        <v>71</v>
      </c>
      <c r="J132" s="4" t="s">
        <v>47</v>
      </c>
      <c r="K132" s="4" t="s">
        <v>34</v>
      </c>
      <c r="L132" s="4" t="s">
        <v>631</v>
      </c>
      <c r="M132" s="4" t="s">
        <v>39</v>
      </c>
      <c r="N132" s="4" t="s">
        <v>631</v>
      </c>
      <c r="O132" s="4">
        <v>8</v>
      </c>
      <c r="P132" s="4" t="s">
        <v>34</v>
      </c>
      <c r="Q132" s="4" t="s">
        <v>42</v>
      </c>
      <c r="R132" s="4" t="s">
        <v>42</v>
      </c>
      <c r="S132" s="4" t="s">
        <v>42</v>
      </c>
      <c r="T132" s="4" t="s">
        <v>42</v>
      </c>
      <c r="U132" s="4" t="s">
        <v>34</v>
      </c>
      <c r="V132" s="4" t="s">
        <v>42</v>
      </c>
      <c r="W132" s="4" t="s">
        <v>42</v>
      </c>
      <c r="Y132" s="4" t="s">
        <v>43</v>
      </c>
      <c r="Z132" s="4" t="s">
        <v>34</v>
      </c>
      <c r="AA132" s="4" t="s">
        <v>632</v>
      </c>
      <c r="AB132" s="4">
        <v>6</v>
      </c>
    </row>
    <row r="133" spans="1:28" ht="22.5" customHeight="1" x14ac:dyDescent="0.25">
      <c r="A133" s="3">
        <v>46131.881764571765</v>
      </c>
      <c r="B133" s="4" t="s">
        <v>633</v>
      </c>
      <c r="C133" s="4" t="s">
        <v>29</v>
      </c>
      <c r="D133" s="4" t="s">
        <v>46</v>
      </c>
      <c r="E133" s="4" t="s">
        <v>31</v>
      </c>
      <c r="F133" s="4" t="s">
        <v>41</v>
      </c>
      <c r="G133" s="4" t="s">
        <v>120</v>
      </c>
      <c r="H133" s="4" t="s">
        <v>100</v>
      </c>
      <c r="I133" s="4" t="s">
        <v>37</v>
      </c>
      <c r="J133" s="4" t="s">
        <v>316</v>
      </c>
      <c r="K133" s="4" t="s">
        <v>41</v>
      </c>
      <c r="L133" s="4" t="s">
        <v>634</v>
      </c>
      <c r="M133" s="4" t="s">
        <v>39</v>
      </c>
      <c r="N133" s="4" t="s">
        <v>635</v>
      </c>
      <c r="O133" s="4">
        <v>9</v>
      </c>
      <c r="P133" s="4" t="s">
        <v>34</v>
      </c>
      <c r="Q133" s="4" t="s">
        <v>37</v>
      </c>
      <c r="R133" s="4" t="s">
        <v>37</v>
      </c>
      <c r="S133" s="4" t="s">
        <v>42</v>
      </c>
      <c r="T133" s="4" t="s">
        <v>37</v>
      </c>
      <c r="U133" s="4" t="s">
        <v>37</v>
      </c>
      <c r="V133" s="4" t="s">
        <v>37</v>
      </c>
      <c r="W133" s="4" t="s">
        <v>37</v>
      </c>
      <c r="X133" s="4" t="s">
        <v>37</v>
      </c>
      <c r="Y133" s="4" t="s">
        <v>43</v>
      </c>
      <c r="Z133" s="4" t="s">
        <v>71</v>
      </c>
      <c r="AA133" s="4" t="s">
        <v>636</v>
      </c>
      <c r="AB133" s="4">
        <v>5</v>
      </c>
    </row>
    <row r="134" spans="1:28" ht="22.5" customHeight="1" x14ac:dyDescent="0.25">
      <c r="A134" s="3">
        <v>46131.901634062495</v>
      </c>
      <c r="B134" s="4" t="s">
        <v>637</v>
      </c>
      <c r="C134" s="4" t="s">
        <v>84</v>
      </c>
      <c r="D134" s="4" t="s">
        <v>46</v>
      </c>
      <c r="E134" s="4" t="s">
        <v>389</v>
      </c>
      <c r="F134" s="4" t="s">
        <v>58</v>
      </c>
      <c r="G134" s="4" t="s">
        <v>34</v>
      </c>
      <c r="H134" s="4" t="s">
        <v>34</v>
      </c>
      <c r="I134" s="4" t="s">
        <v>34</v>
      </c>
      <c r="J134" s="4" t="s">
        <v>47</v>
      </c>
      <c r="K134" s="4" t="s">
        <v>34</v>
      </c>
      <c r="L134" s="4" t="s">
        <v>638</v>
      </c>
      <c r="M134" s="4" t="s">
        <v>39</v>
      </c>
      <c r="N134" s="4" t="s">
        <v>639</v>
      </c>
      <c r="O134" s="4">
        <v>3</v>
      </c>
      <c r="P134" s="4" t="s">
        <v>34</v>
      </c>
      <c r="Q134" s="4" t="s">
        <v>34</v>
      </c>
      <c r="R134" s="4" t="s">
        <v>34</v>
      </c>
      <c r="S134" s="4" t="s">
        <v>34</v>
      </c>
      <c r="T134" s="4" t="s">
        <v>34</v>
      </c>
      <c r="U134" s="4" t="s">
        <v>34</v>
      </c>
      <c r="V134" s="4" t="s">
        <v>34</v>
      </c>
      <c r="W134" s="4" t="s">
        <v>34</v>
      </c>
      <c r="X134" s="4" t="s">
        <v>37</v>
      </c>
      <c r="Y134" s="4" t="s">
        <v>43</v>
      </c>
      <c r="Z134" s="4" t="s">
        <v>34</v>
      </c>
      <c r="AA134" s="4" t="s">
        <v>640</v>
      </c>
      <c r="AB134" s="4">
        <v>1</v>
      </c>
    </row>
    <row r="135" spans="1:28" ht="22.5" customHeight="1" x14ac:dyDescent="0.25">
      <c r="A135" s="3">
        <v>46131.907996192131</v>
      </c>
      <c r="B135" s="4" t="s">
        <v>641</v>
      </c>
      <c r="C135" s="4" t="s">
        <v>29</v>
      </c>
      <c r="D135" s="4" t="s">
        <v>46</v>
      </c>
      <c r="E135" s="4" t="s">
        <v>31</v>
      </c>
      <c r="F135" s="4" t="s">
        <v>92</v>
      </c>
      <c r="G135" s="4" t="s">
        <v>55</v>
      </c>
      <c r="H135" s="4" t="s">
        <v>55</v>
      </c>
      <c r="I135" s="4" t="s">
        <v>55</v>
      </c>
      <c r="J135" s="4" t="s">
        <v>60</v>
      </c>
      <c r="K135" s="4" t="s">
        <v>61</v>
      </c>
      <c r="L135" s="4" t="s">
        <v>534</v>
      </c>
      <c r="M135" s="4" t="s">
        <v>39</v>
      </c>
      <c r="N135" s="4" t="s">
        <v>642</v>
      </c>
      <c r="O135" s="4">
        <v>9</v>
      </c>
      <c r="P135" s="4" t="s">
        <v>41</v>
      </c>
      <c r="Q135" s="4" t="s">
        <v>55</v>
      </c>
      <c r="R135" s="4" t="s">
        <v>55</v>
      </c>
      <c r="S135" s="4" t="s">
        <v>42</v>
      </c>
      <c r="T135" s="4" t="s">
        <v>55</v>
      </c>
      <c r="U135" s="4" t="s">
        <v>55</v>
      </c>
      <c r="V135" s="4" t="s">
        <v>55</v>
      </c>
      <c r="W135" s="4" t="s">
        <v>55</v>
      </c>
      <c r="X135" s="4" t="s">
        <v>55</v>
      </c>
      <c r="Y135" s="4" t="s">
        <v>39</v>
      </c>
      <c r="Z135" s="4" t="s">
        <v>34</v>
      </c>
      <c r="AA135" s="4" t="s">
        <v>643</v>
      </c>
      <c r="AB135" s="4">
        <v>5</v>
      </c>
    </row>
    <row r="136" spans="1:28" ht="22.5" customHeight="1" x14ac:dyDescent="0.25">
      <c r="A136" s="3">
        <v>46131.931732048615</v>
      </c>
      <c r="B136" s="4" t="s">
        <v>644</v>
      </c>
      <c r="C136" s="4" t="s">
        <v>29</v>
      </c>
      <c r="D136" s="4" t="s">
        <v>46</v>
      </c>
      <c r="E136" s="4" t="s">
        <v>31</v>
      </c>
      <c r="F136" s="4" t="s">
        <v>645</v>
      </c>
      <c r="G136" s="4" t="s">
        <v>105</v>
      </c>
      <c r="H136" s="4" t="s">
        <v>86</v>
      </c>
      <c r="I136" s="4" t="s">
        <v>55</v>
      </c>
      <c r="J136" s="4" t="s">
        <v>216</v>
      </c>
      <c r="K136" s="4" t="s">
        <v>41</v>
      </c>
      <c r="L136" s="4" t="s">
        <v>646</v>
      </c>
      <c r="M136" s="4" t="s">
        <v>39</v>
      </c>
      <c r="N136" s="4" t="s">
        <v>647</v>
      </c>
      <c r="O136" s="4">
        <v>7</v>
      </c>
      <c r="P136" s="4" t="s">
        <v>648</v>
      </c>
      <c r="Q136" s="4" t="s">
        <v>55</v>
      </c>
      <c r="R136" s="4" t="s">
        <v>55</v>
      </c>
      <c r="S136" s="4" t="s">
        <v>42</v>
      </c>
      <c r="T136" s="4" t="s">
        <v>55</v>
      </c>
      <c r="U136" s="4" t="s">
        <v>55</v>
      </c>
      <c r="V136" s="4" t="s">
        <v>42</v>
      </c>
      <c r="W136" s="4" t="s">
        <v>55</v>
      </c>
      <c r="X136" s="4" t="s">
        <v>55</v>
      </c>
      <c r="Y136" s="4" t="s">
        <v>89</v>
      </c>
      <c r="Z136" s="4" t="s">
        <v>71</v>
      </c>
      <c r="AA136" s="4" t="s">
        <v>649</v>
      </c>
      <c r="AB136" s="4">
        <v>6</v>
      </c>
    </row>
    <row r="137" spans="1:28" ht="22.5" customHeight="1" x14ac:dyDescent="0.25">
      <c r="A137" s="3">
        <v>46131.94342693287</v>
      </c>
      <c r="B137" s="4" t="s">
        <v>650</v>
      </c>
      <c r="C137" s="4" t="s">
        <v>29</v>
      </c>
      <c r="D137" s="4" t="s">
        <v>46</v>
      </c>
      <c r="E137" s="4" t="s">
        <v>31</v>
      </c>
      <c r="F137" s="4" t="s">
        <v>37</v>
      </c>
      <c r="G137" s="4" t="s">
        <v>37</v>
      </c>
      <c r="H137" s="4" t="s">
        <v>37</v>
      </c>
      <c r="I137" s="4" t="s">
        <v>37</v>
      </c>
      <c r="J137" s="4" t="s">
        <v>36</v>
      </c>
      <c r="K137" s="4" t="s">
        <v>34</v>
      </c>
      <c r="L137" s="4" t="s">
        <v>651</v>
      </c>
      <c r="M137" s="4" t="s">
        <v>39</v>
      </c>
      <c r="N137" s="4" t="s">
        <v>652</v>
      </c>
      <c r="O137" s="4">
        <v>5</v>
      </c>
      <c r="P137" s="4" t="s">
        <v>55</v>
      </c>
      <c r="Q137" s="4" t="s">
        <v>37</v>
      </c>
      <c r="R137" s="4" t="s">
        <v>37</v>
      </c>
      <c r="S137" s="4" t="s">
        <v>34</v>
      </c>
      <c r="T137" s="4" t="s">
        <v>34</v>
      </c>
      <c r="U137" s="4" t="s">
        <v>37</v>
      </c>
      <c r="V137" s="4" t="s">
        <v>37</v>
      </c>
      <c r="W137" s="4" t="s">
        <v>37</v>
      </c>
      <c r="X137" s="4" t="s">
        <v>37</v>
      </c>
      <c r="Y137" s="4" t="s">
        <v>43</v>
      </c>
      <c r="Z137" s="4" t="s">
        <v>75</v>
      </c>
      <c r="AA137" s="4" t="s">
        <v>213</v>
      </c>
      <c r="AB137" s="4">
        <v>5</v>
      </c>
    </row>
    <row r="138" spans="1:28" ht="22.5" customHeight="1" x14ac:dyDescent="0.25">
      <c r="A138" s="3">
        <v>46131.960196562504</v>
      </c>
      <c r="B138" s="4" t="s">
        <v>653</v>
      </c>
      <c r="C138" s="4" t="s">
        <v>29</v>
      </c>
      <c r="D138" s="4" t="s">
        <v>46</v>
      </c>
      <c r="E138" s="4" t="s">
        <v>31</v>
      </c>
      <c r="F138" s="4" t="s">
        <v>71</v>
      </c>
      <c r="G138" s="4" t="s">
        <v>93</v>
      </c>
      <c r="H138" s="4" t="s">
        <v>41</v>
      </c>
      <c r="I138" s="4" t="s">
        <v>71</v>
      </c>
      <c r="J138" s="4" t="s">
        <v>60</v>
      </c>
      <c r="K138" s="4" t="s">
        <v>37</v>
      </c>
      <c r="L138" s="4" t="s">
        <v>654</v>
      </c>
      <c r="M138" s="4" t="s">
        <v>39</v>
      </c>
      <c r="N138" s="4" t="s">
        <v>655</v>
      </c>
      <c r="O138" s="4">
        <v>5</v>
      </c>
      <c r="P138" s="4" t="s">
        <v>34</v>
      </c>
      <c r="Q138" s="4" t="s">
        <v>42</v>
      </c>
      <c r="R138" s="4" t="s">
        <v>34</v>
      </c>
      <c r="S138" s="4" t="s">
        <v>42</v>
      </c>
      <c r="T138" s="4" t="s">
        <v>34</v>
      </c>
      <c r="U138" s="4" t="s">
        <v>42</v>
      </c>
      <c r="V138" s="4" t="s">
        <v>34</v>
      </c>
      <c r="W138" s="4" t="s">
        <v>42</v>
      </c>
      <c r="X138" s="4" t="s">
        <v>42</v>
      </c>
      <c r="Y138" s="4" t="s">
        <v>39</v>
      </c>
      <c r="Z138" s="4" t="s">
        <v>34</v>
      </c>
      <c r="AA138" s="4" t="s">
        <v>656</v>
      </c>
      <c r="AB138" s="4">
        <v>7</v>
      </c>
    </row>
    <row r="139" spans="1:28" ht="22.5" customHeight="1" x14ac:dyDescent="0.25">
      <c r="A139" s="3">
        <v>46131.96524553241</v>
      </c>
      <c r="B139" s="4" t="s">
        <v>657</v>
      </c>
      <c r="C139" s="4" t="s">
        <v>29</v>
      </c>
      <c r="D139" s="4" t="s">
        <v>46</v>
      </c>
      <c r="E139" s="4" t="s">
        <v>31</v>
      </c>
      <c r="F139" s="4" t="s">
        <v>34</v>
      </c>
      <c r="G139" s="4" t="s">
        <v>66</v>
      </c>
      <c r="H139" s="4" t="s">
        <v>114</v>
      </c>
      <c r="I139" s="4" t="s">
        <v>34</v>
      </c>
      <c r="J139" s="4" t="s">
        <v>60</v>
      </c>
      <c r="K139" s="4" t="s">
        <v>41</v>
      </c>
      <c r="L139" s="4" t="s">
        <v>658</v>
      </c>
      <c r="M139" s="4" t="s">
        <v>39</v>
      </c>
      <c r="N139" s="4" t="s">
        <v>659</v>
      </c>
      <c r="O139" s="4">
        <v>9</v>
      </c>
      <c r="P139" s="4" t="s">
        <v>55</v>
      </c>
      <c r="Q139" s="4" t="s">
        <v>34</v>
      </c>
      <c r="R139" s="4" t="s">
        <v>55</v>
      </c>
      <c r="S139" s="4" t="s">
        <v>42</v>
      </c>
      <c r="T139" s="4" t="s">
        <v>34</v>
      </c>
      <c r="U139" s="4" t="s">
        <v>34</v>
      </c>
      <c r="V139" s="4" t="s">
        <v>34</v>
      </c>
      <c r="W139" s="4" t="s">
        <v>34</v>
      </c>
      <c r="X139" s="4" t="s">
        <v>55</v>
      </c>
      <c r="Y139" s="4" t="s">
        <v>89</v>
      </c>
      <c r="Z139" s="4" t="s">
        <v>34</v>
      </c>
      <c r="AA139" s="4" t="s">
        <v>660</v>
      </c>
      <c r="AB139" s="4">
        <v>7</v>
      </c>
    </row>
    <row r="140" spans="1:28" ht="22.5" customHeight="1" x14ac:dyDescent="0.25">
      <c r="A140" s="3">
        <v>46131.965528159722</v>
      </c>
      <c r="B140" s="4" t="s">
        <v>661</v>
      </c>
      <c r="C140" s="4" t="s">
        <v>29</v>
      </c>
      <c r="D140" s="4" t="s">
        <v>46</v>
      </c>
      <c r="E140" s="4" t="s">
        <v>31</v>
      </c>
      <c r="F140" s="4" t="s">
        <v>34</v>
      </c>
      <c r="G140" s="4" t="s">
        <v>34</v>
      </c>
      <c r="H140" s="4" t="s">
        <v>34</v>
      </c>
      <c r="I140" s="4" t="s">
        <v>34</v>
      </c>
      <c r="J140" s="4" t="s">
        <v>60</v>
      </c>
      <c r="K140" s="4" t="s">
        <v>41</v>
      </c>
      <c r="L140" s="4" t="s">
        <v>662</v>
      </c>
      <c r="M140" s="4" t="s">
        <v>39</v>
      </c>
      <c r="N140" s="4" t="s">
        <v>663</v>
      </c>
      <c r="O140" s="4">
        <v>1</v>
      </c>
      <c r="P140" s="4" t="s">
        <v>37</v>
      </c>
      <c r="Q140" s="4" t="s">
        <v>34</v>
      </c>
      <c r="R140" s="4" t="s">
        <v>42</v>
      </c>
      <c r="S140" s="4" t="s">
        <v>42</v>
      </c>
      <c r="T140" s="4" t="s">
        <v>34</v>
      </c>
      <c r="U140" s="4" t="s">
        <v>42</v>
      </c>
      <c r="V140" s="4" t="s">
        <v>34</v>
      </c>
      <c r="W140" s="4" t="s">
        <v>34</v>
      </c>
      <c r="X140" s="4" t="s">
        <v>37</v>
      </c>
      <c r="Y140" s="4" t="s">
        <v>43</v>
      </c>
      <c r="Z140" s="4" t="s">
        <v>34</v>
      </c>
      <c r="AA140" s="4" t="s">
        <v>664</v>
      </c>
      <c r="AB140" s="4">
        <v>10</v>
      </c>
    </row>
    <row r="141" spans="1:28" ht="22.5" customHeight="1" x14ac:dyDescent="0.25">
      <c r="A141" s="3">
        <v>46132.068599212958</v>
      </c>
      <c r="B141" s="4" t="s">
        <v>665</v>
      </c>
      <c r="C141" s="4" t="s">
        <v>84</v>
      </c>
      <c r="D141" s="4" t="s">
        <v>46</v>
      </c>
      <c r="E141" s="4" t="s">
        <v>31</v>
      </c>
      <c r="F141" s="4" t="s">
        <v>71</v>
      </c>
      <c r="G141" s="4" t="s">
        <v>127</v>
      </c>
      <c r="H141" s="4" t="s">
        <v>41</v>
      </c>
      <c r="I141" s="4" t="s">
        <v>71</v>
      </c>
      <c r="J141" s="4" t="s">
        <v>216</v>
      </c>
      <c r="K141" s="4" t="s">
        <v>34</v>
      </c>
      <c r="L141" s="4" t="s">
        <v>666</v>
      </c>
      <c r="M141" s="4" t="s">
        <v>39</v>
      </c>
      <c r="N141" s="4" t="s">
        <v>74</v>
      </c>
      <c r="O141" s="4">
        <v>6</v>
      </c>
      <c r="P141" s="4" t="s">
        <v>34</v>
      </c>
      <c r="Q141" s="4" t="s">
        <v>42</v>
      </c>
      <c r="R141" s="4" t="s">
        <v>34</v>
      </c>
      <c r="S141" s="4" t="s">
        <v>42</v>
      </c>
      <c r="T141" s="4" t="s">
        <v>42</v>
      </c>
      <c r="U141" s="4" t="s">
        <v>42</v>
      </c>
      <c r="V141" s="4" t="s">
        <v>42</v>
      </c>
      <c r="W141" s="4" t="s">
        <v>42</v>
      </c>
      <c r="X141" s="4" t="s">
        <v>42</v>
      </c>
      <c r="Y141" s="4" t="s">
        <v>43</v>
      </c>
      <c r="Z141" s="4" t="s">
        <v>75</v>
      </c>
      <c r="AA141" s="4" t="s">
        <v>667</v>
      </c>
      <c r="AB141" s="4">
        <v>5</v>
      </c>
    </row>
    <row r="142" spans="1:28" ht="22.5" customHeight="1" x14ac:dyDescent="0.25">
      <c r="A142" s="3">
        <v>46132.318866030095</v>
      </c>
      <c r="B142" s="4" t="s">
        <v>668</v>
      </c>
      <c r="C142" s="4" t="s">
        <v>29</v>
      </c>
      <c r="D142" s="4" t="s">
        <v>628</v>
      </c>
      <c r="E142" s="4" t="s">
        <v>31</v>
      </c>
      <c r="F142" s="4" t="s">
        <v>669</v>
      </c>
      <c r="G142" s="4" t="s">
        <v>670</v>
      </c>
      <c r="H142" s="4" t="s">
        <v>41</v>
      </c>
      <c r="I142" s="4" t="s">
        <v>71</v>
      </c>
      <c r="J142" s="4" t="s">
        <v>60</v>
      </c>
      <c r="K142" s="4" t="s">
        <v>34</v>
      </c>
      <c r="L142" s="4" t="s">
        <v>671</v>
      </c>
      <c r="M142" s="4" t="s">
        <v>39</v>
      </c>
      <c r="N142" s="4" t="s">
        <v>672</v>
      </c>
      <c r="O142" s="4">
        <v>1</v>
      </c>
      <c r="P142" s="4" t="s">
        <v>37</v>
      </c>
      <c r="Q142" s="4" t="s">
        <v>42</v>
      </c>
      <c r="R142" s="4" t="s">
        <v>42</v>
      </c>
      <c r="S142" s="4" t="s">
        <v>55</v>
      </c>
      <c r="T142" s="4" t="s">
        <v>42</v>
      </c>
      <c r="U142" s="4" t="s">
        <v>42</v>
      </c>
      <c r="V142" s="4" t="s">
        <v>42</v>
      </c>
      <c r="W142" s="4" t="s">
        <v>42</v>
      </c>
      <c r="X142" s="4" t="s">
        <v>42</v>
      </c>
      <c r="Y142" s="4" t="s">
        <v>43</v>
      </c>
      <c r="Z142" s="4" t="s">
        <v>75</v>
      </c>
      <c r="AA142" s="4" t="s">
        <v>673</v>
      </c>
      <c r="AB142" s="4">
        <v>10</v>
      </c>
    </row>
    <row r="143" spans="1:28" ht="22.5" customHeight="1" x14ac:dyDescent="0.25">
      <c r="A143" s="3">
        <v>46132.566503333335</v>
      </c>
      <c r="B143" s="4" t="s">
        <v>674</v>
      </c>
      <c r="C143" s="4" t="s">
        <v>29</v>
      </c>
      <c r="D143" s="4" t="s">
        <v>46</v>
      </c>
      <c r="E143" s="4" t="s">
        <v>31</v>
      </c>
      <c r="F143" s="4" t="s">
        <v>37</v>
      </c>
      <c r="G143" s="4" t="s">
        <v>66</v>
      </c>
      <c r="H143" s="4" t="s">
        <v>148</v>
      </c>
      <c r="I143" s="4" t="s">
        <v>55</v>
      </c>
      <c r="J143" s="4" t="s">
        <v>60</v>
      </c>
      <c r="K143" s="4" t="s">
        <v>41</v>
      </c>
      <c r="L143" s="4" t="s">
        <v>675</v>
      </c>
      <c r="M143" s="4" t="s">
        <v>39</v>
      </c>
      <c r="N143" s="4" t="s">
        <v>676</v>
      </c>
      <c r="O143" s="4">
        <v>8</v>
      </c>
      <c r="P143" s="4" t="s">
        <v>34</v>
      </c>
      <c r="Q143" s="4" t="s">
        <v>37</v>
      </c>
      <c r="R143" s="4" t="s">
        <v>42</v>
      </c>
      <c r="S143" s="4" t="s">
        <v>42</v>
      </c>
      <c r="T143" s="4" t="s">
        <v>55</v>
      </c>
      <c r="U143" s="4" t="s">
        <v>55</v>
      </c>
      <c r="V143" s="4" t="s">
        <v>42</v>
      </c>
      <c r="W143" s="4" t="s">
        <v>55</v>
      </c>
      <c r="X143" s="4" t="s">
        <v>55</v>
      </c>
      <c r="Y143" s="4" t="s">
        <v>39</v>
      </c>
      <c r="Z143" s="4" t="s">
        <v>34</v>
      </c>
      <c r="AA143" s="4" t="s">
        <v>677</v>
      </c>
      <c r="AB143" s="4">
        <v>8</v>
      </c>
    </row>
    <row r="144" spans="1:28" ht="22.5" customHeight="1" x14ac:dyDescent="0.25">
      <c r="A144" s="3">
        <v>46132.569183368054</v>
      </c>
      <c r="B144" s="4" t="s">
        <v>678</v>
      </c>
      <c r="C144" s="4" t="s">
        <v>29</v>
      </c>
      <c r="D144" s="4" t="s">
        <v>46</v>
      </c>
      <c r="E144" s="4" t="s">
        <v>31</v>
      </c>
      <c r="F144" s="4" t="s">
        <v>679</v>
      </c>
      <c r="G144" s="4" t="s">
        <v>71</v>
      </c>
      <c r="H144" s="4" t="s">
        <v>41</v>
      </c>
      <c r="I144" s="4" t="s">
        <v>71</v>
      </c>
      <c r="J144" s="4" t="s">
        <v>197</v>
      </c>
      <c r="K144" s="4" t="s">
        <v>34</v>
      </c>
      <c r="L144" s="4" t="s">
        <v>680</v>
      </c>
      <c r="M144" s="4" t="s">
        <v>39</v>
      </c>
      <c r="N144" s="4" t="s">
        <v>681</v>
      </c>
      <c r="O144" s="4">
        <v>6</v>
      </c>
      <c r="P144" s="4" t="s">
        <v>682</v>
      </c>
      <c r="Q144" s="4" t="s">
        <v>42</v>
      </c>
      <c r="R144" s="4" t="s">
        <v>42</v>
      </c>
      <c r="S144" s="4" t="s">
        <v>42</v>
      </c>
      <c r="T144" s="4" t="s">
        <v>42</v>
      </c>
      <c r="U144" s="4" t="s">
        <v>55</v>
      </c>
      <c r="V144" s="4" t="s">
        <v>42</v>
      </c>
      <c r="W144" s="4" t="s">
        <v>42</v>
      </c>
      <c r="X144" s="4" t="s">
        <v>55</v>
      </c>
      <c r="Y144" s="4" t="s">
        <v>43</v>
      </c>
      <c r="Z144" s="4" t="s">
        <v>75</v>
      </c>
      <c r="AA144" s="4" t="s">
        <v>683</v>
      </c>
      <c r="AB144" s="4">
        <v>5</v>
      </c>
    </row>
    <row r="145" spans="1:28" ht="22.5" customHeight="1" x14ac:dyDescent="0.25">
      <c r="A145" s="3">
        <v>46132.573354282409</v>
      </c>
      <c r="B145" s="4" t="s">
        <v>684</v>
      </c>
      <c r="C145" s="4" t="s">
        <v>29</v>
      </c>
      <c r="D145" s="4" t="s">
        <v>46</v>
      </c>
      <c r="E145" s="4" t="s">
        <v>31</v>
      </c>
      <c r="F145" s="4" t="s">
        <v>55</v>
      </c>
      <c r="G145" s="4" t="s">
        <v>85</v>
      </c>
      <c r="H145" s="4" t="s">
        <v>161</v>
      </c>
      <c r="I145" s="4" t="s">
        <v>55</v>
      </c>
      <c r="J145" s="4" t="s">
        <v>60</v>
      </c>
      <c r="K145" s="4" t="s">
        <v>41</v>
      </c>
      <c r="L145" s="4" t="s">
        <v>685</v>
      </c>
      <c r="M145" s="4" t="s">
        <v>39</v>
      </c>
      <c r="N145" s="4" t="s">
        <v>686</v>
      </c>
      <c r="O145" s="4">
        <v>10</v>
      </c>
      <c r="P145" s="4" t="s">
        <v>37</v>
      </c>
      <c r="Q145" s="4" t="s">
        <v>37</v>
      </c>
      <c r="R145" s="4" t="s">
        <v>55</v>
      </c>
      <c r="S145" s="4" t="s">
        <v>42</v>
      </c>
      <c r="T145" s="4" t="s">
        <v>55</v>
      </c>
      <c r="U145" s="4" t="s">
        <v>55</v>
      </c>
      <c r="V145" s="4" t="s">
        <v>42</v>
      </c>
      <c r="W145" s="4" t="s">
        <v>37</v>
      </c>
      <c r="X145" s="4" t="s">
        <v>55</v>
      </c>
      <c r="Y145" s="4" t="s">
        <v>43</v>
      </c>
      <c r="Z145" s="4" t="s">
        <v>34</v>
      </c>
      <c r="AA145" s="4" t="s">
        <v>687</v>
      </c>
      <c r="AB145" s="4">
        <v>5</v>
      </c>
    </row>
    <row r="146" spans="1:28" ht="22.5" customHeight="1" x14ac:dyDescent="0.25">
      <c r="A146" s="3">
        <v>46132.618305937503</v>
      </c>
      <c r="B146" s="4" t="s">
        <v>688</v>
      </c>
      <c r="C146" s="4" t="s">
        <v>29</v>
      </c>
      <c r="D146" s="4" t="s">
        <v>46</v>
      </c>
      <c r="E146" s="4" t="s">
        <v>31</v>
      </c>
      <c r="F146" s="4" t="s">
        <v>34</v>
      </c>
      <c r="G146" s="4" t="s">
        <v>34</v>
      </c>
      <c r="H146" s="4" t="s">
        <v>148</v>
      </c>
      <c r="I146" s="4" t="s">
        <v>34</v>
      </c>
      <c r="J146" s="4" t="s">
        <v>60</v>
      </c>
      <c r="K146" s="4" t="s">
        <v>34</v>
      </c>
      <c r="L146" s="4" t="s">
        <v>213</v>
      </c>
      <c r="M146" s="4" t="s">
        <v>39</v>
      </c>
      <c r="N146" s="4" t="s">
        <v>74</v>
      </c>
      <c r="O146" s="4">
        <v>10</v>
      </c>
      <c r="P146" s="4" t="s">
        <v>34</v>
      </c>
      <c r="Q146" s="4" t="s">
        <v>34</v>
      </c>
      <c r="R146" s="4" t="s">
        <v>34</v>
      </c>
      <c r="S146" s="4" t="s">
        <v>34</v>
      </c>
      <c r="T146" s="4" t="s">
        <v>34</v>
      </c>
      <c r="U146" s="4" t="s">
        <v>34</v>
      </c>
      <c r="V146" s="4" t="s">
        <v>34</v>
      </c>
      <c r="W146" s="4" t="s">
        <v>34</v>
      </c>
      <c r="X146" s="4" t="s">
        <v>34</v>
      </c>
      <c r="Y146" s="4" t="s">
        <v>39</v>
      </c>
      <c r="Z146" s="4" t="s">
        <v>34</v>
      </c>
      <c r="AA146" s="4" t="s">
        <v>689</v>
      </c>
      <c r="AB146" s="4">
        <v>10</v>
      </c>
    </row>
    <row r="147" spans="1:28" ht="22.5" customHeight="1" x14ac:dyDescent="0.25">
      <c r="A147" s="3">
        <v>46132.63463695602</v>
      </c>
      <c r="B147" s="4" t="s">
        <v>690</v>
      </c>
      <c r="C147" s="4" t="s">
        <v>84</v>
      </c>
      <c r="D147" s="4" t="s">
        <v>46</v>
      </c>
      <c r="E147" s="4" t="s">
        <v>31</v>
      </c>
      <c r="F147" s="4" t="s">
        <v>154</v>
      </c>
      <c r="G147" s="4" t="s">
        <v>120</v>
      </c>
      <c r="H147" s="4" t="s">
        <v>78</v>
      </c>
      <c r="I147" s="4" t="s">
        <v>71</v>
      </c>
      <c r="J147" s="4" t="s">
        <v>60</v>
      </c>
      <c r="K147" s="4" t="s">
        <v>41</v>
      </c>
      <c r="L147" s="4" t="s">
        <v>691</v>
      </c>
      <c r="M147" s="4" t="s">
        <v>39</v>
      </c>
      <c r="N147" s="4" t="s">
        <v>692</v>
      </c>
      <c r="O147" s="4">
        <v>10</v>
      </c>
      <c r="P147" s="4" t="s">
        <v>34</v>
      </c>
      <c r="Q147" s="4" t="s">
        <v>42</v>
      </c>
      <c r="R147" s="4" t="s">
        <v>42</v>
      </c>
      <c r="S147" s="4" t="s">
        <v>34</v>
      </c>
      <c r="T147" s="4" t="s">
        <v>42</v>
      </c>
      <c r="U147" s="4" t="s">
        <v>42</v>
      </c>
      <c r="V147" s="4" t="s">
        <v>42</v>
      </c>
      <c r="W147" s="4" t="s">
        <v>42</v>
      </c>
      <c r="X147" s="4" t="s">
        <v>42</v>
      </c>
      <c r="Y147" s="4" t="s">
        <v>89</v>
      </c>
      <c r="Z147" s="4" t="s">
        <v>34</v>
      </c>
      <c r="AA147" s="4" t="s">
        <v>693</v>
      </c>
      <c r="AB147" s="4">
        <v>5</v>
      </c>
    </row>
    <row r="148" spans="1:28" ht="22.5" customHeight="1" x14ac:dyDescent="0.25">
      <c r="A148" s="3">
        <v>46132.635431574075</v>
      </c>
      <c r="B148" s="4" t="s">
        <v>694</v>
      </c>
      <c r="C148" s="4" t="s">
        <v>29</v>
      </c>
      <c r="D148" s="4" t="s">
        <v>46</v>
      </c>
      <c r="E148" s="4" t="s">
        <v>31</v>
      </c>
      <c r="F148" s="4" t="s">
        <v>71</v>
      </c>
      <c r="G148" s="4" t="s">
        <v>66</v>
      </c>
      <c r="H148" s="4" t="s">
        <v>148</v>
      </c>
      <c r="I148" s="4" t="s">
        <v>71</v>
      </c>
      <c r="J148" s="4" t="s">
        <v>316</v>
      </c>
      <c r="K148" s="4" t="s">
        <v>41</v>
      </c>
      <c r="L148" s="4" t="s">
        <v>695</v>
      </c>
      <c r="M148" s="4" t="s">
        <v>39</v>
      </c>
      <c r="N148" s="4" t="s">
        <v>696</v>
      </c>
      <c r="O148" s="4">
        <v>10</v>
      </c>
      <c r="P148" s="4" t="s">
        <v>697</v>
      </c>
      <c r="Q148" s="4" t="s">
        <v>42</v>
      </c>
      <c r="R148" s="4" t="s">
        <v>42</v>
      </c>
      <c r="S148" s="4" t="s">
        <v>42</v>
      </c>
      <c r="T148" s="4" t="s">
        <v>42</v>
      </c>
      <c r="U148" s="4" t="s">
        <v>42</v>
      </c>
      <c r="V148" s="4" t="s">
        <v>42</v>
      </c>
      <c r="W148" s="4" t="s">
        <v>42</v>
      </c>
      <c r="X148" s="4" t="s">
        <v>42</v>
      </c>
      <c r="Y148" s="4" t="s">
        <v>43</v>
      </c>
      <c r="Z148" s="4" t="s">
        <v>75</v>
      </c>
      <c r="AA148" s="4" t="s">
        <v>698</v>
      </c>
      <c r="AB148" s="4">
        <v>5</v>
      </c>
    </row>
    <row r="149" spans="1:28" ht="22.5" customHeight="1" x14ac:dyDescent="0.25">
      <c r="A149" s="3">
        <v>46132.757456006948</v>
      </c>
      <c r="B149" s="4" t="s">
        <v>699</v>
      </c>
      <c r="C149" s="4" t="s">
        <v>29</v>
      </c>
      <c r="D149" s="4" t="s">
        <v>46</v>
      </c>
      <c r="E149" s="4" t="s">
        <v>31</v>
      </c>
      <c r="F149" s="4" t="s">
        <v>700</v>
      </c>
      <c r="G149" s="4" t="s">
        <v>66</v>
      </c>
      <c r="H149" s="4" t="s">
        <v>55</v>
      </c>
      <c r="I149" s="4" t="s">
        <v>55</v>
      </c>
      <c r="J149" s="4" t="s">
        <v>47</v>
      </c>
      <c r="K149" s="4" t="s">
        <v>37</v>
      </c>
      <c r="L149" s="4" t="s">
        <v>701</v>
      </c>
      <c r="M149" s="4" t="s">
        <v>39</v>
      </c>
      <c r="N149" s="4" t="s">
        <v>702</v>
      </c>
      <c r="O149" s="4">
        <v>10</v>
      </c>
      <c r="P149" s="4" t="s">
        <v>41</v>
      </c>
      <c r="Q149" s="4" t="s">
        <v>55</v>
      </c>
      <c r="R149" s="4" t="s">
        <v>37</v>
      </c>
      <c r="S149" s="4" t="s">
        <v>42</v>
      </c>
      <c r="T149" s="4" t="s">
        <v>55</v>
      </c>
      <c r="U149" s="4" t="s">
        <v>55</v>
      </c>
      <c r="V149" s="4" t="s">
        <v>55</v>
      </c>
      <c r="W149" s="4" t="s">
        <v>55</v>
      </c>
      <c r="X149" s="4" t="s">
        <v>55</v>
      </c>
      <c r="Y149" s="4" t="s">
        <v>43</v>
      </c>
      <c r="Z149" s="4" t="s">
        <v>75</v>
      </c>
      <c r="AA149" s="4" t="s">
        <v>703</v>
      </c>
      <c r="AB149" s="4">
        <v>5</v>
      </c>
    </row>
    <row r="150" spans="1:28" ht="22.5" customHeight="1" x14ac:dyDescent="0.25">
      <c r="A150" s="3">
        <v>46132.817448391201</v>
      </c>
      <c r="B150" s="4" t="s">
        <v>704</v>
      </c>
      <c r="C150" s="4" t="s">
        <v>29</v>
      </c>
      <c r="D150" s="4" t="s">
        <v>46</v>
      </c>
      <c r="E150" s="4" t="s">
        <v>31</v>
      </c>
      <c r="F150" s="4" t="s">
        <v>34</v>
      </c>
      <c r="G150" s="4" t="s">
        <v>34</v>
      </c>
      <c r="H150" s="4" t="s">
        <v>78</v>
      </c>
      <c r="I150" s="4" t="s">
        <v>34</v>
      </c>
      <c r="J150" s="4" t="s">
        <v>60</v>
      </c>
      <c r="K150" s="4" t="s">
        <v>41</v>
      </c>
      <c r="L150" s="4" t="s">
        <v>705</v>
      </c>
      <c r="M150" s="4" t="s">
        <v>39</v>
      </c>
      <c r="N150" s="4" t="s">
        <v>706</v>
      </c>
      <c r="O150" s="4">
        <v>10</v>
      </c>
      <c r="P150" s="4" t="s">
        <v>37</v>
      </c>
      <c r="Q150" s="4" t="s">
        <v>34</v>
      </c>
      <c r="R150" s="4" t="s">
        <v>37</v>
      </c>
      <c r="S150" s="4" t="s">
        <v>42</v>
      </c>
      <c r="T150" s="4" t="s">
        <v>34</v>
      </c>
      <c r="U150" s="4" t="s">
        <v>34</v>
      </c>
      <c r="V150" s="4" t="s">
        <v>34</v>
      </c>
      <c r="W150" s="4" t="s">
        <v>34</v>
      </c>
      <c r="X150" s="4" t="s">
        <v>34</v>
      </c>
      <c r="Y150" s="4" t="s">
        <v>43</v>
      </c>
      <c r="Z150" s="4" t="s">
        <v>75</v>
      </c>
      <c r="AA150" s="4" t="s">
        <v>707</v>
      </c>
      <c r="AB150" s="4">
        <v>10</v>
      </c>
    </row>
    <row r="151" spans="1:28" ht="22.5" customHeight="1" x14ac:dyDescent="0.25">
      <c r="A151" s="3">
        <v>46134.405615069445</v>
      </c>
      <c r="B151" s="4" t="s">
        <v>708</v>
      </c>
      <c r="C151" s="4" t="s">
        <v>29</v>
      </c>
      <c r="D151" s="4" t="s">
        <v>46</v>
      </c>
      <c r="E151" s="4" t="s">
        <v>159</v>
      </c>
      <c r="F151" s="4" t="s">
        <v>71</v>
      </c>
      <c r="G151" s="4" t="s">
        <v>66</v>
      </c>
      <c r="H151" s="4" t="s">
        <v>161</v>
      </c>
      <c r="I151" s="4" t="s">
        <v>71</v>
      </c>
      <c r="J151" s="4" t="s">
        <v>60</v>
      </c>
      <c r="K151" s="4" t="s">
        <v>41</v>
      </c>
      <c r="L151" s="4" t="s">
        <v>213</v>
      </c>
      <c r="M151" s="4" t="s">
        <v>39</v>
      </c>
      <c r="N151" s="4" t="s">
        <v>709</v>
      </c>
      <c r="O151" s="4">
        <v>7</v>
      </c>
      <c r="P151" s="4" t="s">
        <v>34</v>
      </c>
      <c r="Q151" s="4" t="s">
        <v>42</v>
      </c>
      <c r="R151" s="4" t="s">
        <v>34</v>
      </c>
      <c r="S151" s="4" t="s">
        <v>34</v>
      </c>
      <c r="T151" s="4" t="s">
        <v>34</v>
      </c>
      <c r="U151" s="4" t="s">
        <v>34</v>
      </c>
      <c r="V151" s="4" t="s">
        <v>42</v>
      </c>
      <c r="W151" s="4" t="s">
        <v>42</v>
      </c>
      <c r="X151" s="4" t="s">
        <v>55</v>
      </c>
      <c r="Y151" s="4" t="s">
        <v>89</v>
      </c>
      <c r="Z151" s="4" t="s">
        <v>71</v>
      </c>
      <c r="AA151" s="4" t="s">
        <v>710</v>
      </c>
      <c r="AB151" s="4">
        <v>5</v>
      </c>
    </row>
  </sheetData>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3E4D-7A59-48F6-8955-8E35B92D5313}">
  <dimension ref="A1:K154"/>
  <sheetViews>
    <sheetView tabSelected="1" workbookViewId="0">
      <selection activeCell="K1" sqref="K1"/>
    </sheetView>
  </sheetViews>
  <sheetFormatPr defaultRowHeight="14" x14ac:dyDescent="0.3"/>
  <cols>
    <col min="1" max="1" width="24.1796875" style="31" bestFit="1" customWidth="1"/>
    <col min="2" max="2" width="17.36328125" style="31" bestFit="1" customWidth="1"/>
    <col min="3" max="3" width="8.90625" style="31" bestFit="1" customWidth="1"/>
    <col min="4" max="4" width="8.90625" style="31" customWidth="1"/>
    <col min="5" max="5" width="186.26953125" style="31" bestFit="1" customWidth="1"/>
    <col min="6" max="6" width="89.7265625" style="31" bestFit="1" customWidth="1"/>
    <col min="7" max="7" width="20.81640625" style="31" bestFit="1" customWidth="1"/>
    <col min="8" max="8" width="20.81640625" style="31" customWidth="1"/>
    <col min="9" max="9" width="11.453125" style="31" bestFit="1" customWidth="1"/>
    <col min="10" max="10" width="6.81640625" style="31" bestFit="1" customWidth="1"/>
    <col min="11" max="11" width="25.26953125" style="31" bestFit="1" customWidth="1"/>
    <col min="12" max="16384" width="8.7265625" style="31"/>
  </cols>
  <sheetData>
    <row r="1" spans="1:11" x14ac:dyDescent="0.3">
      <c r="A1" s="31" t="s">
        <v>753</v>
      </c>
      <c r="B1" s="31" t="s">
        <v>7</v>
      </c>
      <c r="C1" s="31" t="s">
        <v>739</v>
      </c>
      <c r="D1" s="31" t="s">
        <v>775</v>
      </c>
      <c r="E1" s="31" t="s">
        <v>740</v>
      </c>
      <c r="F1" s="31" t="s">
        <v>806</v>
      </c>
      <c r="G1" s="31" t="s">
        <v>807</v>
      </c>
      <c r="H1" s="31" t="s">
        <v>808</v>
      </c>
      <c r="I1" s="31" t="s">
        <v>809</v>
      </c>
      <c r="J1" s="31" t="s">
        <v>810</v>
      </c>
      <c r="K1" s="31" t="s">
        <v>742</v>
      </c>
    </row>
    <row r="2" spans="1:11" x14ac:dyDescent="0.3">
      <c r="A2" s="31" t="s">
        <v>28</v>
      </c>
      <c r="B2" s="31" t="s">
        <v>32</v>
      </c>
      <c r="C2" s="31" t="s">
        <v>717</v>
      </c>
      <c r="D2" s="31" t="s">
        <v>32</v>
      </c>
      <c r="E2" s="31" t="s">
        <v>38</v>
      </c>
      <c r="F2" s="31" t="s">
        <v>38</v>
      </c>
      <c r="G2" s="31" t="s">
        <v>791</v>
      </c>
      <c r="H2" s="31" t="str">
        <f>VLOOKUP(Reason_to_switch[[#This Row],[Name]],SINGLE_RESPONSES[],8,FALSE)</f>
        <v>6</v>
      </c>
      <c r="I2" s="31" t="str">
        <f>IF(Reason_to_switch[[#This Row],[Switch_Status]]="Not Switched",Reason_to_switch[[#This Row],[Switch_Status]],"TRUE")</f>
        <v>TRUE</v>
      </c>
      <c r="J2" s="31" t="s">
        <v>811</v>
      </c>
      <c r="K2" s="31" t="s">
        <v>782</v>
      </c>
    </row>
    <row r="3" spans="1:11" x14ac:dyDescent="0.3">
      <c r="A3" s="31" t="s">
        <v>45</v>
      </c>
      <c r="B3" s="31" t="s">
        <v>32</v>
      </c>
      <c r="C3" s="31" t="s">
        <v>32</v>
      </c>
      <c r="D3" s="31" t="s">
        <v>32</v>
      </c>
      <c r="E3" s="31" t="s">
        <v>745</v>
      </c>
      <c r="F3" s="31" t="s">
        <v>812</v>
      </c>
      <c r="G3" s="31" t="str">
        <f>IF(Reason_to_switch[[#This Row],[Switch_Status]]="Not Switched",Reason_to_switch[[#This Row],[Switch_Status]])</f>
        <v>Not Switched</v>
      </c>
      <c r="H3" s="31" t="str">
        <f>VLOOKUP(Reason_to_switch[[#This Row],[Name]],SINGLE_RESPONSES[],8,FALSE)</f>
        <v>4</v>
      </c>
      <c r="I3" s="31" t="str">
        <f>IF(Reason_to_switch[[#This Row],[Switch_Status]]="Not Switched",Reason_to_switch[[#This Row],[Switch_Status]],"TRUE")</f>
        <v>Not Switched</v>
      </c>
      <c r="J3" s="31" t="s">
        <v>763</v>
      </c>
      <c r="K3" s="31" t="s">
        <v>782</v>
      </c>
    </row>
    <row r="4" spans="1:11" x14ac:dyDescent="0.3">
      <c r="A4" s="31" t="s">
        <v>52</v>
      </c>
      <c r="B4" s="31" t="s">
        <v>717</v>
      </c>
      <c r="C4" s="31" t="s">
        <v>32</v>
      </c>
      <c r="D4" s="31" t="s">
        <v>717</v>
      </c>
      <c r="E4" s="31" t="s">
        <v>53</v>
      </c>
      <c r="F4" s="31" t="s">
        <v>53</v>
      </c>
      <c r="G4" s="31" t="s">
        <v>782</v>
      </c>
      <c r="H4" s="31" t="str">
        <f>VLOOKUP(Reason_to_switch[[#This Row],[Name]],SINGLE_RESPONSES[],8,FALSE)</f>
        <v>4</v>
      </c>
      <c r="I4" s="31" t="str">
        <f>IF(Reason_to_switch[[#This Row],[Switch_Status]]="Not Switched",Reason_to_switch[[#This Row],[Switch_Status]],"TRUE")</f>
        <v>TRUE</v>
      </c>
      <c r="J4" s="31" t="s">
        <v>813</v>
      </c>
      <c r="K4" s="31" t="s">
        <v>782</v>
      </c>
    </row>
    <row r="5" spans="1:11" x14ac:dyDescent="0.3">
      <c r="A5" s="31" t="s">
        <v>57</v>
      </c>
      <c r="B5" s="31" t="s">
        <v>32</v>
      </c>
      <c r="C5" s="31" t="s">
        <v>369</v>
      </c>
      <c r="D5" s="31" t="s">
        <v>32</v>
      </c>
      <c r="E5" s="31" t="s">
        <v>62</v>
      </c>
      <c r="F5" s="31" t="s">
        <v>62</v>
      </c>
      <c r="G5" s="31" t="s">
        <v>783</v>
      </c>
      <c r="H5" s="31" t="str">
        <f>VLOOKUP(Reason_to_switch[[#This Row],[Name]],SINGLE_RESPONSES[],8,FALSE)</f>
        <v>7</v>
      </c>
      <c r="I5" s="31" t="str">
        <f>IF(Reason_to_switch[[#This Row],[Switch_Status]]="Not Switched",Reason_to_switch[[#This Row],[Switch_Status]],"TRUE")</f>
        <v>TRUE</v>
      </c>
      <c r="J5" s="31" t="s">
        <v>813</v>
      </c>
      <c r="K5" s="31" t="s">
        <v>786</v>
      </c>
    </row>
    <row r="6" spans="1:11" x14ac:dyDescent="0.3">
      <c r="A6" s="31" t="s">
        <v>65</v>
      </c>
      <c r="B6" s="31" t="s">
        <v>32</v>
      </c>
      <c r="C6" s="31" t="s">
        <v>329</v>
      </c>
      <c r="D6" s="31" t="s">
        <v>32</v>
      </c>
      <c r="E6" s="31" t="s">
        <v>67</v>
      </c>
      <c r="F6" s="31" t="s">
        <v>67</v>
      </c>
      <c r="G6" s="31" t="s">
        <v>814</v>
      </c>
      <c r="H6" s="31" t="str">
        <f>VLOOKUP(Reason_to_switch[[#This Row],[Name]],SINGLE_RESPONSES[],8,FALSE)</f>
        <v>6</v>
      </c>
      <c r="I6" s="31" t="str">
        <f>IF(Reason_to_switch[[#This Row],[Switch_Status]]="Not Switched",Reason_to_switch[[#This Row],[Switch_Status]],"TRUE")</f>
        <v>TRUE</v>
      </c>
      <c r="J6" s="31" t="s">
        <v>811</v>
      </c>
      <c r="K6" s="31" t="s">
        <v>784</v>
      </c>
    </row>
    <row r="7" spans="1:11" x14ac:dyDescent="0.3">
      <c r="A7" s="31" t="s">
        <v>70</v>
      </c>
      <c r="B7" s="31" t="s">
        <v>32</v>
      </c>
      <c r="C7" s="31" t="s">
        <v>369</v>
      </c>
      <c r="D7" s="31" t="s">
        <v>32</v>
      </c>
      <c r="E7" s="31" t="s">
        <v>73</v>
      </c>
      <c r="F7" s="31" t="s">
        <v>73</v>
      </c>
      <c r="G7" s="31" t="s">
        <v>792</v>
      </c>
      <c r="H7" s="31" t="str">
        <f>VLOOKUP(Reason_to_switch[[#This Row],[Name]],SINGLE_RESPONSES[],8,FALSE)</f>
        <v>5</v>
      </c>
      <c r="I7" s="31" t="str">
        <f>IF(Reason_to_switch[[#This Row],[Switch_Status]]="Not Switched",Reason_to_switch[[#This Row],[Switch_Status]],"TRUE")</f>
        <v>TRUE</v>
      </c>
      <c r="J7" s="31" t="s">
        <v>811</v>
      </c>
      <c r="K7" s="31" t="s">
        <v>782</v>
      </c>
    </row>
    <row r="8" spans="1:11" x14ac:dyDescent="0.3">
      <c r="A8" s="31" t="s">
        <v>77</v>
      </c>
      <c r="B8" s="31" t="s">
        <v>329</v>
      </c>
      <c r="C8" s="31" t="s">
        <v>329</v>
      </c>
      <c r="D8" s="31" t="s">
        <v>32</v>
      </c>
      <c r="E8" s="31" t="s">
        <v>79</v>
      </c>
      <c r="F8" s="31" t="s">
        <v>812</v>
      </c>
      <c r="G8" s="31" t="str">
        <f>IF(Reason_to_switch[[#This Row],[Switch_Status]]="Not Switched",Reason_to_switch[[#This Row],[Switch_Status]])</f>
        <v>Not Switched</v>
      </c>
      <c r="H8" s="31" t="str">
        <f>VLOOKUP(Reason_to_switch[[#This Row],[Name]],SINGLE_RESPONSES[],8,FALSE)</f>
        <v>7</v>
      </c>
      <c r="I8" s="31" t="str">
        <f>IF(Reason_to_switch[[#This Row],[Switch_Status]]="Not Switched",Reason_to_switch[[#This Row],[Switch_Status]],"TRUE")</f>
        <v>Not Switched</v>
      </c>
      <c r="J8" s="31" t="s">
        <v>763</v>
      </c>
      <c r="K8" s="31" t="s">
        <v>782</v>
      </c>
    </row>
    <row r="9" spans="1:11" x14ac:dyDescent="0.3">
      <c r="A9" s="31" t="s">
        <v>83</v>
      </c>
      <c r="B9" s="31" t="s">
        <v>329</v>
      </c>
      <c r="C9" s="31" t="s">
        <v>329</v>
      </c>
      <c r="D9" s="31" t="s">
        <v>369</v>
      </c>
      <c r="E9" s="31" t="s">
        <v>87</v>
      </c>
      <c r="F9" s="31" t="s">
        <v>812</v>
      </c>
      <c r="G9" s="31" t="str">
        <f>IF(Reason_to_switch[[#This Row],[Switch_Status]]="Not Switched",Reason_to_switch[[#This Row],[Switch_Status]])</f>
        <v>Not Switched</v>
      </c>
      <c r="H9" s="31" t="str">
        <f>VLOOKUP(Reason_to_switch[[#This Row],[Name]],SINGLE_RESPONSES[],8,FALSE)</f>
        <v>7</v>
      </c>
      <c r="I9" s="31" t="str">
        <f>IF(Reason_to_switch[[#This Row],[Switch_Status]]="Not Switched",Reason_to_switch[[#This Row],[Switch_Status]],"TRUE")</f>
        <v>Not Switched</v>
      </c>
      <c r="J9" s="31" t="s">
        <v>763</v>
      </c>
      <c r="K9" s="31" t="s">
        <v>782</v>
      </c>
    </row>
    <row r="10" spans="1:11" x14ac:dyDescent="0.3">
      <c r="A10" s="31" t="s">
        <v>91</v>
      </c>
      <c r="B10" s="31" t="s">
        <v>329</v>
      </c>
      <c r="C10" s="31" t="s">
        <v>329</v>
      </c>
      <c r="D10" s="31" t="s">
        <v>329</v>
      </c>
      <c r="E10" s="31" t="s">
        <v>745</v>
      </c>
      <c r="F10" s="31" t="s">
        <v>812</v>
      </c>
      <c r="G10" s="31" t="str">
        <f>IF(Reason_to_switch[[#This Row],[Switch_Status]]="Not Switched",Reason_to_switch[[#This Row],[Switch_Status]])</f>
        <v>Not Switched</v>
      </c>
      <c r="H10" s="31" t="str">
        <f>VLOOKUP(Reason_to_switch[[#This Row],[Name]],SINGLE_RESPONSES[],8,FALSE)</f>
        <v>4</v>
      </c>
      <c r="I10" s="31" t="str">
        <f>IF(Reason_to_switch[[#This Row],[Switch_Status]]="Not Switched",Reason_to_switch[[#This Row],[Switch_Status]],"TRUE")</f>
        <v>Not Switched</v>
      </c>
      <c r="J10" s="31" t="s">
        <v>763</v>
      </c>
      <c r="K10" s="31" t="s">
        <v>782</v>
      </c>
    </row>
    <row r="11" spans="1:11" x14ac:dyDescent="0.3">
      <c r="A11" s="31" t="s">
        <v>98</v>
      </c>
      <c r="B11" s="31" t="s">
        <v>329</v>
      </c>
      <c r="C11" s="31" t="s">
        <v>32</v>
      </c>
      <c r="D11" s="31" t="s">
        <v>717</v>
      </c>
      <c r="E11" s="31" t="s">
        <v>101</v>
      </c>
      <c r="F11" s="31" t="s">
        <v>101</v>
      </c>
      <c r="G11" s="31" t="s">
        <v>792</v>
      </c>
      <c r="H11" s="31" t="str">
        <f>VLOOKUP(Reason_to_switch[[#This Row],[Name]],SINGLE_RESPONSES[],8,FALSE)</f>
        <v>7</v>
      </c>
      <c r="I11" s="31" t="str">
        <f>IF(Reason_to_switch[[#This Row],[Switch_Status]]="Not Switched",Reason_to_switch[[#This Row],[Switch_Status]],"TRUE")</f>
        <v>TRUE</v>
      </c>
      <c r="J11" s="31" t="s">
        <v>811</v>
      </c>
      <c r="K11" s="31" t="s">
        <v>799</v>
      </c>
    </row>
    <row r="12" spans="1:11" x14ac:dyDescent="0.3">
      <c r="A12" s="31" t="s">
        <v>104</v>
      </c>
      <c r="B12" s="31" t="s">
        <v>329</v>
      </c>
      <c r="C12" s="31" t="s">
        <v>32</v>
      </c>
      <c r="D12" s="31" t="s">
        <v>329</v>
      </c>
      <c r="E12" s="31" t="s">
        <v>106</v>
      </c>
      <c r="F12" s="31" t="s">
        <v>106</v>
      </c>
      <c r="G12" s="31" t="s">
        <v>784</v>
      </c>
      <c r="H12" s="31" t="str">
        <f>VLOOKUP(Reason_to_switch[[#This Row],[Name]],SINGLE_RESPONSES[],8,FALSE)</f>
        <v>4</v>
      </c>
      <c r="I12" s="31" t="str">
        <f>IF(Reason_to_switch[[#This Row],[Switch_Status]]="Not Switched",Reason_to_switch[[#This Row],[Switch_Status]],"TRUE")</f>
        <v>TRUE</v>
      </c>
      <c r="J12" s="31" t="s">
        <v>813</v>
      </c>
      <c r="K12" s="31" t="s">
        <v>782</v>
      </c>
    </row>
    <row r="13" spans="1:11" x14ac:dyDescent="0.3">
      <c r="A13" s="31" t="s">
        <v>109</v>
      </c>
      <c r="B13" s="31" t="s">
        <v>32</v>
      </c>
      <c r="C13" s="31" t="s">
        <v>329</v>
      </c>
      <c r="D13" s="31" t="s">
        <v>32</v>
      </c>
      <c r="E13" s="31" t="s">
        <v>110</v>
      </c>
      <c r="F13" s="31" t="s">
        <v>110</v>
      </c>
      <c r="G13" s="31" t="s">
        <v>785</v>
      </c>
      <c r="H13" s="31" t="str">
        <f>VLOOKUP(Reason_to_switch[[#This Row],[Name]],SINGLE_RESPONSES[],8,FALSE)</f>
        <v>5</v>
      </c>
      <c r="I13" s="31" t="str">
        <f>IF(Reason_to_switch[[#This Row],[Switch_Status]]="Not Switched",Reason_to_switch[[#This Row],[Switch_Status]],"TRUE")</f>
        <v>TRUE</v>
      </c>
      <c r="J13" s="31" t="s">
        <v>813</v>
      </c>
      <c r="K13" s="31" t="s">
        <v>782</v>
      </c>
    </row>
    <row r="14" spans="1:11" x14ac:dyDescent="0.3">
      <c r="A14" s="31" t="s">
        <v>113</v>
      </c>
      <c r="B14" s="31" t="s">
        <v>32</v>
      </c>
      <c r="C14" s="31" t="s">
        <v>32</v>
      </c>
      <c r="D14" s="31" t="s">
        <v>369</v>
      </c>
      <c r="E14" s="31" t="s">
        <v>115</v>
      </c>
      <c r="F14" s="31" t="s">
        <v>812</v>
      </c>
      <c r="G14" s="31" t="str">
        <f>IF(Reason_to_switch[[#This Row],[Switch_Status]]="Not Switched",Reason_to_switch[[#This Row],[Switch_Status]])</f>
        <v>Not Switched</v>
      </c>
      <c r="H14" s="31" t="str">
        <f>VLOOKUP(Reason_to_switch[[#This Row],[Name]],SINGLE_RESPONSES[],8,FALSE)</f>
        <v>7</v>
      </c>
      <c r="I14" s="31" t="str">
        <f>IF(Reason_to_switch[[#This Row],[Switch_Status]]="Not Switched",Reason_to_switch[[#This Row],[Switch_Status]],"TRUE")</f>
        <v>Not Switched</v>
      </c>
      <c r="J14" s="31" t="s">
        <v>763</v>
      </c>
      <c r="K14" s="31" t="s">
        <v>783</v>
      </c>
    </row>
    <row r="15" spans="1:11" x14ac:dyDescent="0.3">
      <c r="A15" s="31" t="s">
        <v>119</v>
      </c>
      <c r="B15" s="31" t="s">
        <v>32</v>
      </c>
      <c r="C15" s="31" t="s">
        <v>329</v>
      </c>
      <c r="D15" s="31" t="s">
        <v>329</v>
      </c>
      <c r="E15" s="31" t="s">
        <v>121</v>
      </c>
      <c r="F15" s="31" t="s">
        <v>121</v>
      </c>
      <c r="G15" s="31" t="s">
        <v>793</v>
      </c>
      <c r="H15" s="31" t="str">
        <f>VLOOKUP(Reason_to_switch[[#This Row],[Name]],SINGLE_RESPONSES[],8,FALSE)</f>
        <v>7</v>
      </c>
      <c r="I15" s="31" t="str">
        <f>IF(Reason_to_switch[[#This Row],[Switch_Status]]="Not Switched",Reason_to_switch[[#This Row],[Switch_Status]],"TRUE")</f>
        <v>TRUE</v>
      </c>
      <c r="J15" s="31" t="s">
        <v>811</v>
      </c>
      <c r="K15" s="31" t="s">
        <v>800</v>
      </c>
    </row>
    <row r="16" spans="1:11" x14ac:dyDescent="0.3">
      <c r="A16" s="31" t="s">
        <v>125</v>
      </c>
      <c r="B16" s="31" t="s">
        <v>329</v>
      </c>
      <c r="C16" s="31" t="s">
        <v>329</v>
      </c>
      <c r="D16" s="31" t="s">
        <v>329</v>
      </c>
      <c r="E16" s="31" t="s">
        <v>128</v>
      </c>
      <c r="F16" s="31" t="s">
        <v>812</v>
      </c>
      <c r="G16" s="31" t="str">
        <f>IF(Reason_to_switch[[#This Row],[Switch_Status]]="Not Switched",Reason_to_switch[[#This Row],[Switch_Status]])</f>
        <v>Not Switched</v>
      </c>
      <c r="H16" s="31" t="str">
        <f>VLOOKUP(Reason_to_switch[[#This Row],[Name]],SINGLE_RESPONSES[],8,FALSE)</f>
        <v>7</v>
      </c>
      <c r="I16" s="31" t="str">
        <f>IF(Reason_to_switch[[#This Row],[Switch_Status]]="Not Switched",Reason_to_switch[[#This Row],[Switch_Status]],"TRUE")</f>
        <v>Not Switched</v>
      </c>
      <c r="J16" s="31" t="s">
        <v>763</v>
      </c>
      <c r="K16" s="31" t="s">
        <v>782</v>
      </c>
    </row>
    <row r="17" spans="1:11" x14ac:dyDescent="0.3">
      <c r="A17" s="31" t="s">
        <v>131</v>
      </c>
      <c r="B17" s="31" t="s">
        <v>329</v>
      </c>
      <c r="C17" s="31" t="s">
        <v>32</v>
      </c>
      <c r="D17" s="31" t="s">
        <v>717</v>
      </c>
      <c r="E17" s="31" t="s">
        <v>132</v>
      </c>
      <c r="F17" s="31" t="s">
        <v>132</v>
      </c>
      <c r="G17" s="31" t="s">
        <v>782</v>
      </c>
      <c r="H17" s="31" t="str">
        <f>VLOOKUP(Reason_to_switch[[#This Row],[Name]],SINGLE_RESPONSES[],8,FALSE)</f>
        <v>7</v>
      </c>
      <c r="I17" s="31" t="str">
        <f>IF(Reason_to_switch[[#This Row],[Switch_Status]]="Not Switched",Reason_to_switch[[#This Row],[Switch_Status]],"TRUE")</f>
        <v>TRUE</v>
      </c>
      <c r="J17" s="31" t="s">
        <v>813</v>
      </c>
      <c r="K17" s="31" t="s">
        <v>782</v>
      </c>
    </row>
    <row r="18" spans="1:11" x14ac:dyDescent="0.3">
      <c r="A18" s="31" t="s">
        <v>135</v>
      </c>
      <c r="B18" s="31" t="s">
        <v>329</v>
      </c>
      <c r="C18" s="31" t="s">
        <v>32</v>
      </c>
      <c r="D18" s="31" t="s">
        <v>329</v>
      </c>
      <c r="E18" s="31" t="s">
        <v>137</v>
      </c>
      <c r="F18" s="31" t="s">
        <v>137</v>
      </c>
      <c r="G18" s="31" t="s">
        <v>791</v>
      </c>
      <c r="H18" s="31" t="str">
        <f>VLOOKUP(Reason_to_switch[[#This Row],[Name]],SINGLE_RESPONSES[],8,FALSE)</f>
        <v>4</v>
      </c>
      <c r="I18" s="31" t="str">
        <f>IF(Reason_to_switch[[#This Row],[Switch_Status]]="Not Switched",Reason_to_switch[[#This Row],[Switch_Status]],"TRUE")</f>
        <v>TRUE</v>
      </c>
      <c r="J18" s="31" t="s">
        <v>811</v>
      </c>
      <c r="K18" s="31" t="s">
        <v>786</v>
      </c>
    </row>
    <row r="19" spans="1:11" x14ac:dyDescent="0.3">
      <c r="A19" s="31" t="s">
        <v>141</v>
      </c>
      <c r="B19" s="31" t="s">
        <v>32</v>
      </c>
      <c r="C19" s="31" t="s">
        <v>329</v>
      </c>
      <c r="D19" s="31" t="s">
        <v>32</v>
      </c>
      <c r="E19" s="31" t="s">
        <v>143</v>
      </c>
      <c r="F19" s="31" t="s">
        <v>794</v>
      </c>
      <c r="G19" s="31" t="s">
        <v>794</v>
      </c>
      <c r="H19" s="31" t="str">
        <f>VLOOKUP(Reason_to_switch[[#This Row],[Name]],SINGLE_RESPONSES[],8,FALSE)</f>
        <v>7</v>
      </c>
      <c r="I19" s="31" t="str">
        <f>IF(Reason_to_switch[[#This Row],[Switch_Status]]="Not Switched",Reason_to_switch[[#This Row],[Switch_Status]],"TRUE")</f>
        <v>TRUE</v>
      </c>
      <c r="J19" s="31" t="s">
        <v>813</v>
      </c>
      <c r="K19" s="31" t="s">
        <v>782</v>
      </c>
    </row>
    <row r="20" spans="1:11" x14ac:dyDescent="0.3">
      <c r="A20" s="31" t="s">
        <v>146</v>
      </c>
      <c r="B20" s="31" t="s">
        <v>329</v>
      </c>
      <c r="C20" s="31" t="s">
        <v>329</v>
      </c>
      <c r="D20" s="31" t="s">
        <v>329</v>
      </c>
      <c r="E20" s="31" t="s">
        <v>149</v>
      </c>
      <c r="F20" s="31" t="s">
        <v>812</v>
      </c>
      <c r="G20" s="31" t="str">
        <f>IF(Reason_to_switch[[#This Row],[Switch_Status]]="Not Switched",Reason_to_switch[[#This Row],[Switch_Status]])</f>
        <v>Not Switched</v>
      </c>
      <c r="H20" s="31" t="str">
        <f>VLOOKUP(Reason_to_switch[[#This Row],[Name]],SINGLE_RESPONSES[],8,FALSE)</f>
        <v>7</v>
      </c>
      <c r="I20" s="31" t="str">
        <f>IF(Reason_to_switch[[#This Row],[Switch_Status]]="Not Switched",Reason_to_switch[[#This Row],[Switch_Status]],"TRUE")</f>
        <v>Not Switched</v>
      </c>
      <c r="J20" s="31" t="s">
        <v>763</v>
      </c>
      <c r="K20" s="31" t="s">
        <v>783</v>
      </c>
    </row>
    <row r="21" spans="1:11" x14ac:dyDescent="0.3">
      <c r="A21" s="31" t="s">
        <v>153</v>
      </c>
      <c r="B21" s="31" t="s">
        <v>329</v>
      </c>
      <c r="C21" s="31" t="s">
        <v>329</v>
      </c>
      <c r="D21" s="31" t="s">
        <v>329</v>
      </c>
      <c r="E21" s="31" t="s">
        <v>155</v>
      </c>
      <c r="F21" s="31" t="s">
        <v>812</v>
      </c>
      <c r="G21" s="31" t="str">
        <f>IF(Reason_to_switch[[#This Row],[Switch_Status]]="Not Switched",Reason_to_switch[[#This Row],[Switch_Status]])</f>
        <v>Not Switched</v>
      </c>
      <c r="H21" s="31" t="str">
        <f>VLOOKUP(Reason_to_switch[[#This Row],[Name]],SINGLE_RESPONSES[],8,FALSE)</f>
        <v>5</v>
      </c>
      <c r="I21" s="31" t="str">
        <f>IF(Reason_to_switch[[#This Row],[Switch_Status]]="Not Switched",Reason_to_switch[[#This Row],[Switch_Status]],"TRUE")</f>
        <v>Not Switched</v>
      </c>
      <c r="J21" s="31" t="s">
        <v>763</v>
      </c>
      <c r="K21" s="31" t="s">
        <v>782</v>
      </c>
    </row>
    <row r="22" spans="1:11" x14ac:dyDescent="0.3">
      <c r="A22" s="31" t="s">
        <v>158</v>
      </c>
      <c r="B22" s="31" t="s">
        <v>329</v>
      </c>
      <c r="C22" s="31" t="s">
        <v>329</v>
      </c>
      <c r="D22" s="31" t="s">
        <v>329</v>
      </c>
      <c r="E22" s="31" t="s">
        <v>162</v>
      </c>
      <c r="F22" s="31" t="s">
        <v>812</v>
      </c>
      <c r="G22" s="31" t="str">
        <f>IF(Reason_to_switch[[#This Row],[Switch_Status]]="Not Switched",Reason_to_switch[[#This Row],[Switch_Status]])</f>
        <v>Not Switched</v>
      </c>
      <c r="H22" s="31" t="str">
        <f>VLOOKUP(Reason_to_switch[[#This Row],[Name]],SINGLE_RESPONSES[],8,FALSE)</f>
        <v>6</v>
      </c>
      <c r="I22" s="31" t="str">
        <f>IF(Reason_to_switch[[#This Row],[Switch_Status]]="Not Switched",Reason_to_switch[[#This Row],[Switch_Status]],"TRUE")</f>
        <v>Not Switched</v>
      </c>
      <c r="J22" s="31" t="s">
        <v>763</v>
      </c>
      <c r="K22" s="31" t="s">
        <v>782</v>
      </c>
    </row>
    <row r="23" spans="1:11" x14ac:dyDescent="0.3">
      <c r="A23" s="31" t="s">
        <v>164</v>
      </c>
      <c r="B23" s="31" t="s">
        <v>329</v>
      </c>
      <c r="C23" s="31" t="s">
        <v>329</v>
      </c>
      <c r="D23" s="31" t="s">
        <v>329</v>
      </c>
      <c r="E23" s="31" t="s">
        <v>166</v>
      </c>
      <c r="F23" s="31" t="s">
        <v>812</v>
      </c>
      <c r="G23" s="31" t="str">
        <f>IF(Reason_to_switch[[#This Row],[Switch_Status]]="Not Switched",Reason_to_switch[[#This Row],[Switch_Status]])</f>
        <v>Not Switched</v>
      </c>
      <c r="H23" s="31" t="str">
        <f>VLOOKUP(Reason_to_switch[[#This Row],[Name]],SINGLE_RESPONSES[],8,FALSE)</f>
        <v>7</v>
      </c>
      <c r="I23" s="31" t="str">
        <f>IF(Reason_to_switch[[#This Row],[Switch_Status]]="Not Switched",Reason_to_switch[[#This Row],[Switch_Status]],"TRUE")</f>
        <v>Not Switched</v>
      </c>
      <c r="J23" s="31" t="s">
        <v>763</v>
      </c>
      <c r="K23" s="31" t="s">
        <v>786</v>
      </c>
    </row>
    <row r="24" spans="1:11" x14ac:dyDescent="0.3">
      <c r="A24" s="31" t="s">
        <v>168</v>
      </c>
      <c r="B24" s="31" t="s">
        <v>329</v>
      </c>
      <c r="C24" s="31" t="s">
        <v>369</v>
      </c>
      <c r="D24" s="31" t="s">
        <v>329</v>
      </c>
      <c r="E24" s="31" t="s">
        <v>169</v>
      </c>
      <c r="F24" s="31" t="s">
        <v>169</v>
      </c>
      <c r="G24" s="31" t="s">
        <v>782</v>
      </c>
      <c r="H24" s="31" t="str">
        <f>VLOOKUP(Reason_to_switch[[#This Row],[Name]],SINGLE_RESPONSES[],8,FALSE)</f>
        <v>7</v>
      </c>
      <c r="I24" s="31" t="str">
        <f>IF(Reason_to_switch[[#This Row],[Switch_Status]]="Not Switched",Reason_to_switch[[#This Row],[Switch_Status]],"TRUE")</f>
        <v>TRUE</v>
      </c>
      <c r="J24" s="31" t="s">
        <v>813</v>
      </c>
      <c r="K24" s="31" t="s">
        <v>782</v>
      </c>
    </row>
    <row r="25" spans="1:11" x14ac:dyDescent="0.3">
      <c r="A25" s="31" t="s">
        <v>172</v>
      </c>
      <c r="B25" s="31" t="s">
        <v>32</v>
      </c>
      <c r="C25" s="31" t="s">
        <v>32</v>
      </c>
      <c r="D25" s="31" t="s">
        <v>32</v>
      </c>
      <c r="E25" s="31" t="s">
        <v>174</v>
      </c>
      <c r="F25" s="31" t="s">
        <v>812</v>
      </c>
      <c r="G25" s="31" t="str">
        <f>IF(Reason_to_switch[[#This Row],[Switch_Status]]="Not Switched",Reason_to_switch[[#This Row],[Switch_Status]])</f>
        <v>Not Switched</v>
      </c>
      <c r="H25" s="31" t="str">
        <f>VLOOKUP(Reason_to_switch[[#This Row],[Name]],SINGLE_RESPONSES[],8,FALSE)</f>
        <v>5</v>
      </c>
      <c r="I25" s="31" t="str">
        <f>IF(Reason_to_switch[[#This Row],[Switch_Status]]="Not Switched",Reason_to_switch[[#This Row],[Switch_Status]],"TRUE")</f>
        <v>Not Switched</v>
      </c>
      <c r="J25" s="31" t="s">
        <v>763</v>
      </c>
      <c r="K25" s="31" t="s">
        <v>783</v>
      </c>
    </row>
    <row r="26" spans="1:11" x14ac:dyDescent="0.3">
      <c r="A26" s="31" t="s">
        <v>177</v>
      </c>
      <c r="B26" s="31" t="s">
        <v>329</v>
      </c>
      <c r="C26" s="31" t="s">
        <v>329</v>
      </c>
      <c r="D26" s="31" t="s">
        <v>329</v>
      </c>
      <c r="E26" s="31" t="s">
        <v>178</v>
      </c>
      <c r="F26" s="31" t="s">
        <v>812</v>
      </c>
      <c r="G26" s="31" t="str">
        <f>IF(Reason_to_switch[[#This Row],[Switch_Status]]="Not Switched",Reason_to_switch[[#This Row],[Switch_Status]])</f>
        <v>Not Switched</v>
      </c>
      <c r="H26" s="31" t="str">
        <f>VLOOKUP(Reason_to_switch[[#This Row],[Name]],SINGLE_RESPONSES[],8,FALSE)</f>
        <v>7</v>
      </c>
      <c r="I26" s="31" t="str">
        <f>IF(Reason_to_switch[[#This Row],[Switch_Status]]="Not Switched",Reason_to_switch[[#This Row],[Switch_Status]],"TRUE")</f>
        <v>Not Switched</v>
      </c>
      <c r="J26" s="31" t="s">
        <v>763</v>
      </c>
      <c r="K26" s="31" t="s">
        <v>782</v>
      </c>
    </row>
    <row r="27" spans="1:11" x14ac:dyDescent="0.3">
      <c r="A27" s="31" t="s">
        <v>181</v>
      </c>
      <c r="B27" s="31" t="s">
        <v>329</v>
      </c>
      <c r="C27" s="31" t="s">
        <v>369</v>
      </c>
      <c r="D27" s="31" t="s">
        <v>329</v>
      </c>
      <c r="E27" s="31" t="s">
        <v>183</v>
      </c>
      <c r="F27" s="31" t="s">
        <v>183</v>
      </c>
      <c r="G27" s="31" t="s">
        <v>794</v>
      </c>
      <c r="H27" s="31" t="str">
        <f>VLOOKUP(Reason_to_switch[[#This Row],[Name]],SINGLE_RESPONSES[],8,FALSE)</f>
        <v>6</v>
      </c>
      <c r="I27" s="31" t="str">
        <f>IF(Reason_to_switch[[#This Row],[Switch_Status]]="Not Switched",Reason_to_switch[[#This Row],[Switch_Status]],"TRUE")</f>
        <v>TRUE</v>
      </c>
      <c r="J27" s="31" t="s">
        <v>813</v>
      </c>
      <c r="K27" s="31" t="s">
        <v>782</v>
      </c>
    </row>
    <row r="28" spans="1:11" x14ac:dyDescent="0.3">
      <c r="A28" s="31" t="s">
        <v>186</v>
      </c>
      <c r="B28" s="31" t="s">
        <v>32</v>
      </c>
      <c r="C28" s="31" t="s">
        <v>329</v>
      </c>
      <c r="D28" s="31" t="s">
        <v>32</v>
      </c>
      <c r="E28" s="31" t="s">
        <v>187</v>
      </c>
      <c r="F28" s="31" t="s">
        <v>187</v>
      </c>
      <c r="G28" s="31" t="s">
        <v>794</v>
      </c>
      <c r="H28" s="31" t="str">
        <f>VLOOKUP(Reason_to_switch[[#This Row],[Name]],SINGLE_RESPONSES[],8,FALSE)</f>
        <v>6</v>
      </c>
      <c r="I28" s="31" t="str">
        <f>IF(Reason_to_switch[[#This Row],[Switch_Status]]="Not Switched",Reason_to_switch[[#This Row],[Switch_Status]],"TRUE")</f>
        <v>TRUE</v>
      </c>
      <c r="J28" s="31" t="s">
        <v>813</v>
      </c>
      <c r="K28" s="31" t="s">
        <v>794</v>
      </c>
    </row>
    <row r="29" spans="1:11" x14ac:dyDescent="0.3">
      <c r="A29" s="31" t="s">
        <v>190</v>
      </c>
      <c r="B29" s="31" t="s">
        <v>32</v>
      </c>
      <c r="C29" s="31" t="s">
        <v>32</v>
      </c>
      <c r="D29" s="31" t="s">
        <v>32</v>
      </c>
      <c r="E29" s="31" t="s">
        <v>192</v>
      </c>
      <c r="F29" s="31" t="s">
        <v>812</v>
      </c>
      <c r="G29" s="31" t="str">
        <f>IF(Reason_to_switch[[#This Row],[Switch_Status]]="Not Switched",Reason_to_switch[[#This Row],[Switch_Status]])</f>
        <v>Not Switched</v>
      </c>
      <c r="H29" s="31" t="str">
        <f>VLOOKUP(Reason_to_switch[[#This Row],[Name]],SINGLE_RESPONSES[],8,FALSE)</f>
        <v>7</v>
      </c>
      <c r="I29" s="31" t="str">
        <f>IF(Reason_to_switch[[#This Row],[Switch_Status]]="Not Switched",Reason_to_switch[[#This Row],[Switch_Status]],"TRUE")</f>
        <v>Not Switched</v>
      </c>
      <c r="J29" s="31" t="s">
        <v>763</v>
      </c>
      <c r="K29" s="31" t="s">
        <v>787</v>
      </c>
    </row>
    <row r="30" spans="1:11" x14ac:dyDescent="0.3">
      <c r="A30" s="31" t="s">
        <v>195</v>
      </c>
      <c r="B30" s="31" t="s">
        <v>329</v>
      </c>
      <c r="C30" s="31" t="s">
        <v>329</v>
      </c>
      <c r="D30" s="31" t="s">
        <v>329</v>
      </c>
      <c r="E30" s="31" t="s">
        <v>160</v>
      </c>
      <c r="F30" s="31" t="s">
        <v>812</v>
      </c>
      <c r="G30" s="31" t="str">
        <f>IF(Reason_to_switch[[#This Row],[Switch_Status]]="Not Switched",Reason_to_switch[[#This Row],[Switch_Status]])</f>
        <v>Not Switched</v>
      </c>
      <c r="H30" s="31" t="str">
        <f>VLOOKUP(Reason_to_switch[[#This Row],[Name]],SINGLE_RESPONSES[],8,FALSE)</f>
        <v>2</v>
      </c>
      <c r="I30" s="31" t="str">
        <f>IF(Reason_to_switch[[#This Row],[Switch_Status]]="Not Switched",Reason_to_switch[[#This Row],[Switch_Status]],"TRUE")</f>
        <v>Not Switched</v>
      </c>
      <c r="J30" s="31" t="s">
        <v>763</v>
      </c>
      <c r="K30" s="31" t="s">
        <v>800</v>
      </c>
    </row>
    <row r="31" spans="1:11" x14ac:dyDescent="0.3">
      <c r="A31" s="31" t="s">
        <v>199</v>
      </c>
      <c r="B31" s="31" t="s">
        <v>717</v>
      </c>
      <c r="C31" s="31" t="s">
        <v>329</v>
      </c>
      <c r="D31" s="31" t="s">
        <v>717</v>
      </c>
      <c r="E31" s="31" t="s">
        <v>200</v>
      </c>
      <c r="F31" s="31" t="s">
        <v>200</v>
      </c>
      <c r="G31" s="31" t="s">
        <v>792</v>
      </c>
      <c r="H31" s="31" t="str">
        <f>VLOOKUP(Reason_to_switch[[#This Row],[Name]],SINGLE_RESPONSES[],8,FALSE)</f>
        <v>5</v>
      </c>
      <c r="I31" s="31" t="str">
        <f>IF(Reason_to_switch[[#This Row],[Switch_Status]]="Not Switched",Reason_to_switch[[#This Row],[Switch_Status]],"TRUE")</f>
        <v>TRUE</v>
      </c>
      <c r="J31" s="31" t="s">
        <v>811</v>
      </c>
      <c r="K31" s="31" t="s">
        <v>783</v>
      </c>
    </row>
    <row r="32" spans="1:11" x14ac:dyDescent="0.3">
      <c r="A32" s="31" t="s">
        <v>203</v>
      </c>
      <c r="B32" s="31" t="s">
        <v>329</v>
      </c>
      <c r="C32" s="31" t="s">
        <v>329</v>
      </c>
      <c r="D32" s="31" t="s">
        <v>329</v>
      </c>
      <c r="E32" s="31" t="s">
        <v>205</v>
      </c>
      <c r="F32" s="31" t="s">
        <v>812</v>
      </c>
      <c r="G32" s="31" t="str">
        <f>IF(Reason_to_switch[[#This Row],[Switch_Status]]="Not Switched",Reason_to_switch[[#This Row],[Switch_Status]])</f>
        <v>Not Switched</v>
      </c>
      <c r="H32" s="31" t="str">
        <f>VLOOKUP(Reason_to_switch[[#This Row],[Name]],SINGLE_RESPONSES[],8,FALSE)</f>
        <v>7</v>
      </c>
      <c r="I32" s="31" t="str">
        <f>IF(Reason_to_switch[[#This Row],[Switch_Status]]="Not Switched",Reason_to_switch[[#This Row],[Switch_Status]],"TRUE")</f>
        <v>Not Switched</v>
      </c>
      <c r="J32" s="31" t="s">
        <v>763</v>
      </c>
      <c r="K32" s="31" t="s">
        <v>782</v>
      </c>
    </row>
    <row r="33" spans="1:11" x14ac:dyDescent="0.3">
      <c r="A33" s="31" t="s">
        <v>209</v>
      </c>
      <c r="B33" s="31" t="s">
        <v>717</v>
      </c>
      <c r="C33" s="31" t="s">
        <v>329</v>
      </c>
      <c r="D33" s="31" t="s">
        <v>717</v>
      </c>
      <c r="E33" s="31" t="s">
        <v>211</v>
      </c>
      <c r="F33" s="31" t="s">
        <v>211</v>
      </c>
      <c r="G33" s="31" t="s">
        <v>791</v>
      </c>
      <c r="H33" s="31" t="str">
        <f>VLOOKUP(Reason_to_switch[[#This Row],[Name]],SINGLE_RESPONSES[],8,FALSE)</f>
        <v>7</v>
      </c>
      <c r="I33" s="31" t="str">
        <f>IF(Reason_to_switch[[#This Row],[Switch_Status]]="Not Switched",Reason_to_switch[[#This Row],[Switch_Status]],"TRUE")</f>
        <v>TRUE</v>
      </c>
      <c r="J33" s="31" t="s">
        <v>811</v>
      </c>
      <c r="K33" s="31" t="s">
        <v>782</v>
      </c>
    </row>
    <row r="34" spans="1:11" x14ac:dyDescent="0.3">
      <c r="A34" s="31" t="s">
        <v>215</v>
      </c>
      <c r="B34" s="31" t="s">
        <v>717</v>
      </c>
      <c r="C34" s="31" t="s">
        <v>717</v>
      </c>
      <c r="D34" s="31" t="s">
        <v>717</v>
      </c>
      <c r="E34" s="31" t="s">
        <v>217</v>
      </c>
      <c r="F34" s="31" t="s">
        <v>812</v>
      </c>
      <c r="G34" s="31" t="str">
        <f>IF(Reason_to_switch[[#This Row],[Switch_Status]]="Not Switched",Reason_to_switch[[#This Row],[Switch_Status]])</f>
        <v>Not Switched</v>
      </c>
      <c r="H34" s="31" t="str">
        <f>VLOOKUP(Reason_to_switch[[#This Row],[Name]],SINGLE_RESPONSES[],8,FALSE)</f>
        <v>3</v>
      </c>
      <c r="I34" s="31" t="str">
        <f>IF(Reason_to_switch[[#This Row],[Switch_Status]]="Not Switched",Reason_to_switch[[#This Row],[Switch_Status]],"TRUE")</f>
        <v>Not Switched</v>
      </c>
      <c r="J34" s="31" t="s">
        <v>763</v>
      </c>
      <c r="K34" s="31" t="s">
        <v>782</v>
      </c>
    </row>
    <row r="35" spans="1:11" x14ac:dyDescent="0.3">
      <c r="A35" s="31" t="s">
        <v>220</v>
      </c>
      <c r="B35" s="31" t="s">
        <v>329</v>
      </c>
      <c r="C35" s="31" t="s">
        <v>32</v>
      </c>
      <c r="D35" s="31" t="s">
        <v>329</v>
      </c>
      <c r="E35" s="31" t="s">
        <v>222</v>
      </c>
      <c r="F35" s="31" t="s">
        <v>222</v>
      </c>
      <c r="G35" s="31" t="s">
        <v>782</v>
      </c>
      <c r="H35" s="31" t="str">
        <f>VLOOKUP(Reason_to_switch[[#This Row],[Name]],SINGLE_RESPONSES[],8,FALSE)</f>
        <v>2</v>
      </c>
      <c r="I35" s="31" t="str">
        <f>IF(Reason_to_switch[[#This Row],[Switch_Status]]="Not Switched",Reason_to_switch[[#This Row],[Switch_Status]],"TRUE")</f>
        <v>TRUE</v>
      </c>
      <c r="J35" s="31" t="s">
        <v>813</v>
      </c>
      <c r="K35" s="31" t="s">
        <v>786</v>
      </c>
    </row>
    <row r="36" spans="1:11" x14ac:dyDescent="0.3">
      <c r="A36" s="31" t="s">
        <v>225</v>
      </c>
      <c r="B36" s="31" t="s">
        <v>329</v>
      </c>
      <c r="C36" s="31" t="s">
        <v>329</v>
      </c>
      <c r="D36" s="31" t="s">
        <v>32</v>
      </c>
      <c r="E36" s="31" t="s">
        <v>227</v>
      </c>
      <c r="F36" s="31" t="s">
        <v>812</v>
      </c>
      <c r="G36" s="31" t="str">
        <f>IF(Reason_to_switch[[#This Row],[Switch_Status]]="Not Switched",Reason_to_switch[[#This Row],[Switch_Status]])</f>
        <v>Not Switched</v>
      </c>
      <c r="H36" s="31" t="str">
        <f>VLOOKUP(Reason_to_switch[[#This Row],[Name]],SINGLE_RESPONSES[],8,FALSE)</f>
        <v>6</v>
      </c>
      <c r="I36" s="31" t="str">
        <f>IF(Reason_to_switch[[#This Row],[Switch_Status]]="Not Switched",Reason_to_switch[[#This Row],[Switch_Status]],"TRUE")</f>
        <v>Not Switched</v>
      </c>
      <c r="J36" s="31" t="s">
        <v>763</v>
      </c>
      <c r="K36" s="31" t="s">
        <v>801</v>
      </c>
    </row>
    <row r="37" spans="1:11" x14ac:dyDescent="0.3">
      <c r="A37" s="31" t="s">
        <v>230</v>
      </c>
      <c r="B37" s="31" t="s">
        <v>329</v>
      </c>
      <c r="C37" s="31" t="s">
        <v>329</v>
      </c>
      <c r="D37" s="31" t="s">
        <v>329</v>
      </c>
      <c r="E37" s="31" t="s">
        <v>231</v>
      </c>
      <c r="F37" s="31" t="s">
        <v>812</v>
      </c>
      <c r="G37" s="31" t="str">
        <f>IF(Reason_to_switch[[#This Row],[Switch_Status]]="Not Switched",Reason_to_switch[[#This Row],[Switch_Status]])</f>
        <v>Not Switched</v>
      </c>
      <c r="H37" s="31" t="str">
        <f>VLOOKUP(Reason_to_switch[[#This Row],[Name]],SINGLE_RESPONSES[],8,FALSE)</f>
        <v>4</v>
      </c>
      <c r="I37" s="31" t="str">
        <f>IF(Reason_to_switch[[#This Row],[Switch_Status]]="Not Switched",Reason_to_switch[[#This Row],[Switch_Status]],"TRUE")</f>
        <v>Not Switched</v>
      </c>
      <c r="J37" s="31" t="s">
        <v>763</v>
      </c>
      <c r="K37" s="31" t="s">
        <v>784</v>
      </c>
    </row>
    <row r="38" spans="1:11" x14ac:dyDescent="0.3">
      <c r="A38" s="31" t="s">
        <v>233</v>
      </c>
      <c r="B38" s="31" t="s">
        <v>329</v>
      </c>
      <c r="C38" s="31" t="s">
        <v>329</v>
      </c>
      <c r="D38" s="31" t="s">
        <v>329</v>
      </c>
      <c r="E38" s="31" t="s">
        <v>235</v>
      </c>
      <c r="F38" s="31" t="s">
        <v>812</v>
      </c>
      <c r="G38" s="31" t="str">
        <f>IF(Reason_to_switch[[#This Row],[Switch_Status]]="Not Switched",Reason_to_switch[[#This Row],[Switch_Status]])</f>
        <v>Not Switched</v>
      </c>
      <c r="H38" s="31" t="str">
        <f>VLOOKUP(Reason_to_switch[[#This Row],[Name]],SINGLE_RESPONSES[],8,FALSE)</f>
        <v>7</v>
      </c>
      <c r="I38" s="31" t="str">
        <f>IF(Reason_to_switch[[#This Row],[Switch_Status]]="Not Switched",Reason_to_switch[[#This Row],[Switch_Status]],"TRUE")</f>
        <v>Not Switched</v>
      </c>
      <c r="J38" s="31" t="s">
        <v>763</v>
      </c>
      <c r="K38" s="31" t="s">
        <v>782</v>
      </c>
    </row>
    <row r="39" spans="1:11" x14ac:dyDescent="0.3">
      <c r="A39" s="31" t="s">
        <v>238</v>
      </c>
      <c r="B39" s="31" t="s">
        <v>329</v>
      </c>
      <c r="C39" s="31" t="s">
        <v>32</v>
      </c>
      <c r="D39" s="31" t="s">
        <v>329</v>
      </c>
      <c r="E39" s="31" t="s">
        <v>239</v>
      </c>
      <c r="F39" s="31" t="s">
        <v>239</v>
      </c>
      <c r="G39" s="31" t="s">
        <v>786</v>
      </c>
      <c r="H39" s="31" t="str">
        <f>VLOOKUP(Reason_to_switch[[#This Row],[Name]],SINGLE_RESPONSES[],8,FALSE)</f>
        <v>6</v>
      </c>
      <c r="I39" s="31" t="str">
        <f>IF(Reason_to_switch[[#This Row],[Switch_Status]]="Not Switched",Reason_to_switch[[#This Row],[Switch_Status]],"TRUE")</f>
        <v>TRUE</v>
      </c>
      <c r="J39" s="31" t="s">
        <v>813</v>
      </c>
      <c r="K39" s="31" t="s">
        <v>794</v>
      </c>
    </row>
    <row r="40" spans="1:11" x14ac:dyDescent="0.3">
      <c r="A40" s="31" t="s">
        <v>242</v>
      </c>
      <c r="B40" s="31" t="s">
        <v>329</v>
      </c>
      <c r="C40" s="31" t="s">
        <v>369</v>
      </c>
      <c r="D40" s="31" t="s">
        <v>369</v>
      </c>
      <c r="E40" s="31" t="s">
        <v>244</v>
      </c>
      <c r="F40" s="31" t="s">
        <v>812</v>
      </c>
      <c r="G40" s="31" t="s">
        <v>794</v>
      </c>
      <c r="H40" s="31" t="str">
        <f>VLOOKUP(Reason_to_switch[[#This Row],[Name]],SINGLE_RESPONSES[],8,FALSE)</f>
        <v>7</v>
      </c>
      <c r="I40" s="32" t="str">
        <f>IF(Reason_to_switch[[#This Row],[Switch_Status]]="Not Switched",Reason_to_switch[[#This Row],[Switch_Status]],"TRUE")</f>
        <v>Not Switched</v>
      </c>
      <c r="J40" s="31" t="s">
        <v>813</v>
      </c>
      <c r="K40" s="31" t="s">
        <v>782</v>
      </c>
    </row>
    <row r="41" spans="1:11" x14ac:dyDescent="0.3">
      <c r="A41" s="31" t="s">
        <v>246</v>
      </c>
      <c r="B41" s="31" t="s">
        <v>369</v>
      </c>
      <c r="C41" s="31" t="s">
        <v>369</v>
      </c>
      <c r="D41" s="31" t="s">
        <v>369</v>
      </c>
      <c r="E41" s="31" t="s">
        <v>248</v>
      </c>
      <c r="F41" s="31" t="s">
        <v>812</v>
      </c>
      <c r="G41" s="31" t="str">
        <f>IF(Reason_to_switch[[#This Row],[Switch_Status]]="Not Switched",Reason_to_switch[[#This Row],[Switch_Status]])</f>
        <v>Not Switched</v>
      </c>
      <c r="H41" s="31" t="str">
        <f>VLOOKUP(Reason_to_switch[[#This Row],[Name]],SINGLE_RESPONSES[],8,FALSE)</f>
        <v>7</v>
      </c>
      <c r="I41" s="31" t="str">
        <f>IF(Reason_to_switch[[#This Row],[Switch_Status]]="Not Switched",Reason_to_switch[[#This Row],[Switch_Status]],"TRUE")</f>
        <v>Not Switched</v>
      </c>
      <c r="J41" s="31" t="s">
        <v>763</v>
      </c>
      <c r="K41" s="31" t="s">
        <v>782</v>
      </c>
    </row>
    <row r="42" spans="1:11" x14ac:dyDescent="0.3">
      <c r="A42" s="31" t="s">
        <v>251</v>
      </c>
      <c r="B42" s="31" t="s">
        <v>32</v>
      </c>
      <c r="C42" s="31" t="s">
        <v>32</v>
      </c>
      <c r="D42" s="31" t="s">
        <v>32</v>
      </c>
      <c r="E42" s="31" t="s">
        <v>252</v>
      </c>
      <c r="F42" s="31" t="s">
        <v>812</v>
      </c>
      <c r="G42" s="31" t="str">
        <f>IF(Reason_to_switch[[#This Row],[Switch_Status]]="Not Switched",Reason_to_switch[[#This Row],[Switch_Status]])</f>
        <v>Not Switched</v>
      </c>
      <c r="H42" s="31" t="str">
        <f>VLOOKUP(Reason_to_switch[[#This Row],[Name]],SINGLE_RESPONSES[],8,FALSE)</f>
        <v>2</v>
      </c>
      <c r="I42" s="31" t="str">
        <f>IF(Reason_to_switch[[#This Row],[Switch_Status]]="Not Switched",Reason_to_switch[[#This Row],[Switch_Status]],"TRUE")</f>
        <v>Not Switched</v>
      </c>
      <c r="J42" s="31" t="s">
        <v>763</v>
      </c>
      <c r="K42" s="31" t="s">
        <v>782</v>
      </c>
    </row>
    <row r="43" spans="1:11" x14ac:dyDescent="0.3">
      <c r="A43" s="31" t="s">
        <v>255</v>
      </c>
      <c r="B43" s="31" t="s">
        <v>329</v>
      </c>
      <c r="C43" s="31" t="s">
        <v>717</v>
      </c>
      <c r="D43" s="31" t="s">
        <v>329</v>
      </c>
      <c r="E43" s="31" t="s">
        <v>256</v>
      </c>
      <c r="F43" s="31" t="s">
        <v>256</v>
      </c>
      <c r="G43" s="31" t="s">
        <v>783</v>
      </c>
      <c r="H43" s="31" t="str">
        <f>VLOOKUP(Reason_to_switch[[#This Row],[Name]],SINGLE_RESPONSES[],8,FALSE)</f>
        <v>7</v>
      </c>
      <c r="I43" s="31" t="str">
        <f>IF(Reason_to_switch[[#This Row],[Switch_Status]]="Not Switched",Reason_to_switch[[#This Row],[Switch_Status]],"TRUE")</f>
        <v>TRUE</v>
      </c>
      <c r="J43" s="31" t="s">
        <v>813</v>
      </c>
      <c r="K43" s="31" t="s">
        <v>783</v>
      </c>
    </row>
    <row r="44" spans="1:11" x14ac:dyDescent="0.3">
      <c r="A44" s="31" t="s">
        <v>259</v>
      </c>
      <c r="B44" s="31" t="s">
        <v>329</v>
      </c>
      <c r="C44" s="31" t="s">
        <v>32</v>
      </c>
      <c r="D44" s="31" t="s">
        <v>329</v>
      </c>
      <c r="E44" s="31" t="s">
        <v>260</v>
      </c>
      <c r="F44" s="31" t="s">
        <v>794</v>
      </c>
      <c r="G44" s="31" t="s">
        <v>794</v>
      </c>
      <c r="H44" s="31" t="str">
        <f>VLOOKUP(Reason_to_switch[[#This Row],[Name]],SINGLE_RESPONSES[],8,FALSE)</f>
        <v>7</v>
      </c>
      <c r="I44" s="31" t="str">
        <f>IF(Reason_to_switch[[#This Row],[Switch_Status]]="Not Switched",Reason_to_switch[[#This Row],[Switch_Status]],"TRUE")</f>
        <v>TRUE</v>
      </c>
      <c r="J44" s="31" t="s">
        <v>813</v>
      </c>
      <c r="K44" s="31" t="s">
        <v>782</v>
      </c>
    </row>
    <row r="45" spans="1:11" x14ac:dyDescent="0.3">
      <c r="A45" s="31" t="s">
        <v>263</v>
      </c>
      <c r="B45" s="31" t="s">
        <v>329</v>
      </c>
      <c r="C45" s="31" t="s">
        <v>32</v>
      </c>
      <c r="D45" s="31" t="s">
        <v>329</v>
      </c>
      <c r="E45" s="31" t="s">
        <v>264</v>
      </c>
      <c r="F45" s="31" t="s">
        <v>264</v>
      </c>
      <c r="G45" s="31" t="s">
        <v>794</v>
      </c>
      <c r="H45" s="31" t="str">
        <f>VLOOKUP(Reason_to_switch[[#This Row],[Name]],SINGLE_RESPONSES[],8,FALSE)</f>
        <v>7</v>
      </c>
      <c r="I45" s="31" t="str">
        <f>IF(Reason_to_switch[[#This Row],[Switch_Status]]="Not Switched",Reason_to_switch[[#This Row],[Switch_Status]],"TRUE")</f>
        <v>TRUE</v>
      </c>
      <c r="J45" s="31" t="s">
        <v>813</v>
      </c>
      <c r="K45" s="31" t="s">
        <v>782</v>
      </c>
    </row>
    <row r="46" spans="1:11" x14ac:dyDescent="0.3">
      <c r="A46" s="31" t="s">
        <v>267</v>
      </c>
      <c r="B46" s="31" t="s">
        <v>329</v>
      </c>
      <c r="C46" s="31" t="s">
        <v>329</v>
      </c>
      <c r="D46" s="31" t="s">
        <v>32</v>
      </c>
      <c r="E46" s="31" t="s">
        <v>269</v>
      </c>
      <c r="F46" s="31" t="s">
        <v>812</v>
      </c>
      <c r="G46" s="31" t="str">
        <f>IF(Reason_to_switch[[#This Row],[Switch_Status]]="Not Switched",Reason_to_switch[[#This Row],[Switch_Status]])</f>
        <v>Not Switched</v>
      </c>
      <c r="H46" s="31" t="str">
        <f>VLOOKUP(Reason_to_switch[[#This Row],[Name]],SINGLE_RESPONSES[],8,FALSE)</f>
        <v>7</v>
      </c>
      <c r="I46" s="31" t="str">
        <f>IF(Reason_to_switch[[#This Row],[Switch_Status]]="Not Switched",Reason_to_switch[[#This Row],[Switch_Status]],"TRUE")</f>
        <v>Not Switched</v>
      </c>
      <c r="J46" s="31" t="s">
        <v>763</v>
      </c>
      <c r="K46" s="31" t="s">
        <v>786</v>
      </c>
    </row>
    <row r="47" spans="1:11" x14ac:dyDescent="0.3">
      <c r="A47" s="31" t="s">
        <v>259</v>
      </c>
      <c r="B47" s="31" t="s">
        <v>329</v>
      </c>
      <c r="C47" s="31" t="s">
        <v>32</v>
      </c>
      <c r="D47" s="31" t="s">
        <v>329</v>
      </c>
      <c r="E47" s="31" t="s">
        <v>272</v>
      </c>
      <c r="F47" s="31" t="s">
        <v>272</v>
      </c>
      <c r="G47" s="31" t="s">
        <v>784</v>
      </c>
      <c r="H47" s="31" t="str">
        <f>VLOOKUP(Reason_to_switch[[#This Row],[Name]],SINGLE_RESPONSES[],8,FALSE)</f>
        <v>7</v>
      </c>
      <c r="I47" s="31" t="str">
        <f>IF(Reason_to_switch[[#This Row],[Switch_Status]]="Not Switched",Reason_to_switch[[#This Row],[Switch_Status]],"TRUE")</f>
        <v>TRUE</v>
      </c>
      <c r="J47" s="31" t="s">
        <v>813</v>
      </c>
      <c r="K47" s="31" t="s">
        <v>783</v>
      </c>
    </row>
    <row r="48" spans="1:11" x14ac:dyDescent="0.3">
      <c r="A48" s="31" t="s">
        <v>276</v>
      </c>
      <c r="B48" s="31" t="s">
        <v>329</v>
      </c>
      <c r="C48" s="31" t="s">
        <v>717</v>
      </c>
      <c r="D48" s="31" t="s">
        <v>32</v>
      </c>
      <c r="E48" s="31" t="s">
        <v>277</v>
      </c>
      <c r="F48" s="31" t="s">
        <v>277</v>
      </c>
      <c r="G48" s="31" t="s">
        <v>782</v>
      </c>
      <c r="H48" s="31" t="str">
        <f>VLOOKUP(Reason_to_switch[[#This Row],[Name]],SINGLE_RESPONSES[],8,FALSE)</f>
        <v>7</v>
      </c>
      <c r="I48" s="31" t="str">
        <f>IF(Reason_to_switch[[#This Row],[Switch_Status]]="Not Switched",Reason_to_switch[[#This Row],[Switch_Status]],"TRUE")</f>
        <v>TRUE</v>
      </c>
      <c r="J48" s="31" t="s">
        <v>813</v>
      </c>
      <c r="K48" s="31" t="s">
        <v>787</v>
      </c>
    </row>
    <row r="49" spans="1:11" x14ac:dyDescent="0.3">
      <c r="A49" s="31" t="s">
        <v>280</v>
      </c>
      <c r="B49" s="31" t="s">
        <v>329</v>
      </c>
      <c r="C49" s="31" t="s">
        <v>329</v>
      </c>
      <c r="D49" s="31" t="s">
        <v>32</v>
      </c>
      <c r="E49" s="31" t="s">
        <v>282</v>
      </c>
      <c r="F49" s="31" t="s">
        <v>812</v>
      </c>
      <c r="G49" s="31" t="str">
        <f>IF(Reason_to_switch[[#This Row],[Switch_Status]]="Not Switched",Reason_to_switch[[#This Row],[Switch_Status]])</f>
        <v>Not Switched</v>
      </c>
      <c r="H49" s="31" t="str">
        <f>VLOOKUP(Reason_to_switch[[#This Row],[Name]],SINGLE_RESPONSES[],8,FALSE)</f>
        <v>7</v>
      </c>
      <c r="I49" s="31" t="str">
        <f>IF(Reason_to_switch[[#This Row],[Switch_Status]]="Not Switched",Reason_to_switch[[#This Row],[Switch_Status]],"TRUE")</f>
        <v>Not Switched</v>
      </c>
      <c r="J49" s="31" t="s">
        <v>763</v>
      </c>
      <c r="K49" s="31" t="s">
        <v>784</v>
      </c>
    </row>
    <row r="50" spans="1:11" x14ac:dyDescent="0.3">
      <c r="A50" s="31" t="s">
        <v>285</v>
      </c>
      <c r="B50" s="31" t="s">
        <v>329</v>
      </c>
      <c r="C50" s="31" t="s">
        <v>329</v>
      </c>
      <c r="D50" s="31" t="s">
        <v>32</v>
      </c>
      <c r="E50" s="31" t="s">
        <v>286</v>
      </c>
      <c r="F50" s="31" t="s">
        <v>812</v>
      </c>
      <c r="G50" s="31" t="str">
        <f>IF(Reason_to_switch[[#This Row],[Switch_Status]]="Not Switched",Reason_to_switch[[#This Row],[Switch_Status]])</f>
        <v>Not Switched</v>
      </c>
      <c r="H50" s="31" t="str">
        <f>VLOOKUP(Reason_to_switch[[#This Row],[Name]],SINGLE_RESPONSES[],8,FALSE)</f>
        <v>7</v>
      </c>
      <c r="I50" s="31" t="str">
        <f>IF(Reason_to_switch[[#This Row],[Switch_Status]]="Not Switched",Reason_to_switch[[#This Row],[Switch_Status]],"TRUE")</f>
        <v>Not Switched</v>
      </c>
      <c r="J50" s="31" t="s">
        <v>763</v>
      </c>
      <c r="K50" s="31" t="s">
        <v>782</v>
      </c>
    </row>
    <row r="51" spans="1:11" x14ac:dyDescent="0.3">
      <c r="A51" s="31" t="s">
        <v>289</v>
      </c>
      <c r="B51" s="31" t="s">
        <v>32</v>
      </c>
      <c r="C51" s="31" t="s">
        <v>717</v>
      </c>
      <c r="D51" s="31" t="s">
        <v>32</v>
      </c>
      <c r="E51" s="31" t="s">
        <v>290</v>
      </c>
      <c r="F51" s="31" t="s">
        <v>290</v>
      </c>
      <c r="G51" s="31" t="s">
        <v>794</v>
      </c>
      <c r="H51" s="31" t="str">
        <f>VLOOKUP(Reason_to_switch[[#This Row],[Name]],SINGLE_RESPONSES[],8,FALSE)</f>
        <v>4</v>
      </c>
      <c r="I51" s="31" t="str">
        <f>IF(Reason_to_switch[[#This Row],[Switch_Status]]="Not Switched",Reason_to_switch[[#This Row],[Switch_Status]],"TRUE")</f>
        <v>TRUE</v>
      </c>
      <c r="J51" s="31" t="s">
        <v>813</v>
      </c>
      <c r="K51" s="31" t="s">
        <v>782</v>
      </c>
    </row>
    <row r="52" spans="1:11" x14ac:dyDescent="0.3">
      <c r="A52" s="31" t="s">
        <v>293</v>
      </c>
      <c r="B52" s="31" t="s">
        <v>717</v>
      </c>
      <c r="C52" s="31" t="s">
        <v>32</v>
      </c>
      <c r="D52" s="31" t="s">
        <v>717</v>
      </c>
      <c r="E52" s="31" t="s">
        <v>294</v>
      </c>
      <c r="F52" s="31" t="s">
        <v>294</v>
      </c>
      <c r="G52" s="31" t="s">
        <v>794</v>
      </c>
      <c r="H52" s="31" t="str">
        <f>VLOOKUP(Reason_to_switch[[#This Row],[Name]],SINGLE_RESPONSES[],8,FALSE)</f>
        <v>5</v>
      </c>
      <c r="I52" s="31" t="str">
        <f>IF(Reason_to_switch[[#This Row],[Switch_Status]]="Not Switched",Reason_to_switch[[#This Row],[Switch_Status]],"TRUE")</f>
        <v>TRUE</v>
      </c>
      <c r="J52" s="31" t="s">
        <v>813</v>
      </c>
      <c r="K52" s="31" t="s">
        <v>782</v>
      </c>
    </row>
    <row r="53" spans="1:11" x14ac:dyDescent="0.3">
      <c r="A53" s="31" t="s">
        <v>52</v>
      </c>
      <c r="B53" s="31" t="s">
        <v>717</v>
      </c>
      <c r="C53" s="31" t="s">
        <v>32</v>
      </c>
      <c r="D53" s="31" t="s">
        <v>717</v>
      </c>
      <c r="E53" s="31" t="s">
        <v>297</v>
      </c>
      <c r="F53" s="31" t="s">
        <v>297</v>
      </c>
      <c r="G53" s="31" t="s">
        <v>785</v>
      </c>
      <c r="H53" s="31" t="str">
        <f>VLOOKUP(Reason_to_switch[[#This Row],[Name]],SINGLE_RESPONSES[],8,FALSE)</f>
        <v>4</v>
      </c>
      <c r="I53" s="31" t="str">
        <f>IF(Reason_to_switch[[#This Row],[Switch_Status]]="Not Switched",Reason_to_switch[[#This Row],[Switch_Status]],"TRUE")</f>
        <v>TRUE</v>
      </c>
      <c r="J53" s="31" t="s">
        <v>813</v>
      </c>
      <c r="K53" s="31" t="s">
        <v>782</v>
      </c>
    </row>
    <row r="54" spans="1:11" x14ac:dyDescent="0.3">
      <c r="A54" s="31" t="s">
        <v>300</v>
      </c>
      <c r="B54" s="31" t="s">
        <v>329</v>
      </c>
      <c r="C54" s="31" t="s">
        <v>32</v>
      </c>
      <c r="D54" s="31" t="s">
        <v>329</v>
      </c>
      <c r="E54" s="31" t="s">
        <v>303</v>
      </c>
      <c r="F54" s="31" t="s">
        <v>303</v>
      </c>
      <c r="G54" s="31" t="s">
        <v>782</v>
      </c>
      <c r="H54" s="31" t="str">
        <f>VLOOKUP(Reason_to_switch[[#This Row],[Name]],SINGLE_RESPONSES[],8,FALSE)</f>
        <v>6</v>
      </c>
      <c r="I54" s="31" t="str">
        <f>IF(Reason_to_switch[[#This Row],[Switch_Status]]="Not Switched",Reason_to_switch[[#This Row],[Switch_Status]],"TRUE")</f>
        <v>TRUE</v>
      </c>
      <c r="J54" s="31" t="s">
        <v>813</v>
      </c>
      <c r="K54" s="31" t="s">
        <v>782</v>
      </c>
    </row>
    <row r="55" spans="1:11" x14ac:dyDescent="0.3">
      <c r="A55" s="31" t="s">
        <v>306</v>
      </c>
      <c r="B55" s="31" t="s">
        <v>32</v>
      </c>
      <c r="C55" s="31" t="s">
        <v>32</v>
      </c>
      <c r="D55" s="31" t="s">
        <v>32</v>
      </c>
      <c r="E55" s="31" t="s">
        <v>308</v>
      </c>
      <c r="F55" s="31" t="s">
        <v>812</v>
      </c>
      <c r="G55" s="31" t="str">
        <f>IF(Reason_to_switch[[#This Row],[Switch_Status]]="Not Switched",Reason_to_switch[[#This Row],[Switch_Status]])</f>
        <v>Not Switched</v>
      </c>
      <c r="H55" s="31" t="str">
        <f>VLOOKUP(Reason_to_switch[[#This Row],[Name]],SINGLE_RESPONSES[],8,FALSE)</f>
        <v>6</v>
      </c>
      <c r="I55" s="31" t="str">
        <f>IF(Reason_to_switch[[#This Row],[Switch_Status]]="Not Switched",Reason_to_switch[[#This Row],[Switch_Status]],"TRUE")</f>
        <v>Not Switched</v>
      </c>
      <c r="J55" s="31" t="s">
        <v>763</v>
      </c>
      <c r="K55" s="31" t="s">
        <v>801</v>
      </c>
    </row>
    <row r="56" spans="1:11" x14ac:dyDescent="0.3">
      <c r="A56" s="31" t="s">
        <v>311</v>
      </c>
      <c r="B56" s="31" t="s">
        <v>329</v>
      </c>
      <c r="C56" s="31" t="s">
        <v>329</v>
      </c>
      <c r="D56" s="31" t="s">
        <v>329</v>
      </c>
      <c r="E56" s="31" t="s">
        <v>313</v>
      </c>
      <c r="F56" s="31" t="s">
        <v>812</v>
      </c>
      <c r="G56" s="31" t="str">
        <f>IF(Reason_to_switch[[#This Row],[Switch_Status]]="Not Switched",Reason_to_switch[[#This Row],[Switch_Status]])</f>
        <v>Not Switched</v>
      </c>
      <c r="H56" s="31" t="str">
        <f>VLOOKUP(Reason_to_switch[[#This Row],[Name]],SINGLE_RESPONSES[],8,FALSE)</f>
        <v>5</v>
      </c>
      <c r="I56" s="31" t="str">
        <f>IF(Reason_to_switch[[#This Row],[Switch_Status]]="Not Switched",Reason_to_switch[[#This Row],[Switch_Status]],"TRUE")</f>
        <v>Not Switched</v>
      </c>
      <c r="J56" s="31" t="s">
        <v>763</v>
      </c>
      <c r="K56" s="31" t="s">
        <v>786</v>
      </c>
    </row>
    <row r="57" spans="1:11" x14ac:dyDescent="0.3">
      <c r="A57" s="31" t="s">
        <v>315</v>
      </c>
      <c r="B57" s="31" t="s">
        <v>717</v>
      </c>
      <c r="C57" s="31" t="s">
        <v>329</v>
      </c>
      <c r="D57" s="31" t="s">
        <v>717</v>
      </c>
      <c r="E57" s="31" t="s">
        <v>213</v>
      </c>
      <c r="F57" s="31" t="s">
        <v>213</v>
      </c>
      <c r="G57" s="31" t="s">
        <v>794</v>
      </c>
      <c r="H57" s="31" t="str">
        <f>VLOOKUP(Reason_to_switch[[#This Row],[Name]],SINGLE_RESPONSES[],8,FALSE)</f>
        <v>1</v>
      </c>
      <c r="I57" s="31" t="str">
        <f>IF(Reason_to_switch[[#This Row],[Switch_Status]]="Not Switched",Reason_to_switch[[#This Row],[Switch_Status]],"TRUE")</f>
        <v>TRUE</v>
      </c>
      <c r="J57" s="31" t="s">
        <v>813</v>
      </c>
      <c r="K57" s="31" t="s">
        <v>794</v>
      </c>
    </row>
    <row r="58" spans="1:11" x14ac:dyDescent="0.3">
      <c r="A58" s="31" t="s">
        <v>319</v>
      </c>
      <c r="B58" s="31" t="s">
        <v>717</v>
      </c>
      <c r="C58" s="31" t="s">
        <v>32</v>
      </c>
      <c r="D58" s="31" t="s">
        <v>717</v>
      </c>
      <c r="E58" s="31" t="s">
        <v>320</v>
      </c>
      <c r="F58" s="31" t="s">
        <v>320</v>
      </c>
      <c r="G58" s="31" t="s">
        <v>782</v>
      </c>
      <c r="H58" s="31" t="str">
        <f>VLOOKUP(Reason_to_switch[[#This Row],[Name]],SINGLE_RESPONSES[],8,FALSE)</f>
        <v>1</v>
      </c>
      <c r="I58" s="31" t="str">
        <f>IF(Reason_to_switch[[#This Row],[Switch_Status]]="Not Switched",Reason_to_switch[[#This Row],[Switch_Status]],"TRUE")</f>
        <v>TRUE</v>
      </c>
      <c r="J58" s="31" t="s">
        <v>813</v>
      </c>
      <c r="K58" s="31" t="s">
        <v>783</v>
      </c>
    </row>
    <row r="59" spans="1:11" x14ac:dyDescent="0.3">
      <c r="A59" s="31" t="s">
        <v>323</v>
      </c>
      <c r="B59" s="31" t="s">
        <v>369</v>
      </c>
      <c r="C59" s="31" t="s">
        <v>369</v>
      </c>
      <c r="D59" s="31" t="s">
        <v>369</v>
      </c>
      <c r="E59" s="31" t="s">
        <v>325</v>
      </c>
      <c r="F59" s="31" t="s">
        <v>812</v>
      </c>
      <c r="G59" s="31" t="str">
        <f>IF(Reason_to_switch[[#This Row],[Switch_Status]]="Not Switched",Reason_to_switch[[#This Row],[Switch_Status]])</f>
        <v>Not Switched</v>
      </c>
      <c r="H59" s="31" t="str">
        <f>VLOOKUP(Reason_to_switch[[#This Row],[Name]],SINGLE_RESPONSES[],8,FALSE)</f>
        <v>7</v>
      </c>
      <c r="I59" s="31" t="str">
        <f>IF(Reason_to_switch[[#This Row],[Switch_Status]]="Not Switched",Reason_to_switch[[#This Row],[Switch_Status]],"TRUE")</f>
        <v>Not Switched</v>
      </c>
      <c r="J59" s="31" t="s">
        <v>763</v>
      </c>
      <c r="K59" s="31" t="s">
        <v>783</v>
      </c>
    </row>
    <row r="60" spans="1:11" x14ac:dyDescent="0.3">
      <c r="A60" s="31" t="s">
        <v>328</v>
      </c>
      <c r="B60" s="31" t="s">
        <v>329</v>
      </c>
      <c r="C60" s="31" t="s">
        <v>329</v>
      </c>
      <c r="D60" s="31" t="s">
        <v>329</v>
      </c>
      <c r="E60" s="31" t="s">
        <v>330</v>
      </c>
      <c r="F60" s="31" t="s">
        <v>812</v>
      </c>
      <c r="G60" s="31" t="str">
        <f>IF(Reason_to_switch[[#This Row],[Switch_Status]]="Not Switched",Reason_to_switch[[#This Row],[Switch_Status]])</f>
        <v>Not Switched</v>
      </c>
      <c r="H60" s="31" t="str">
        <f>VLOOKUP(Reason_to_switch[[#This Row],[Name]],SINGLE_RESPONSES[],8,FALSE)</f>
        <v>7</v>
      </c>
      <c r="I60" s="31" t="str">
        <f>IF(Reason_to_switch[[#This Row],[Switch_Status]]="Not Switched",Reason_to_switch[[#This Row],[Switch_Status]],"TRUE")</f>
        <v>Not Switched</v>
      </c>
      <c r="J60" s="31" t="s">
        <v>763</v>
      </c>
      <c r="K60" s="31" t="s">
        <v>784</v>
      </c>
    </row>
    <row r="61" spans="1:11" x14ac:dyDescent="0.3">
      <c r="A61" s="31" t="s">
        <v>333</v>
      </c>
      <c r="B61" s="31" t="s">
        <v>32</v>
      </c>
      <c r="C61" s="31" t="s">
        <v>329</v>
      </c>
      <c r="D61" s="31" t="s">
        <v>32</v>
      </c>
      <c r="E61" s="31" t="s">
        <v>334</v>
      </c>
      <c r="F61" s="31" t="s">
        <v>334</v>
      </c>
      <c r="G61" s="31" t="s">
        <v>783</v>
      </c>
      <c r="H61" s="31" t="str">
        <f>VLOOKUP(Reason_to_switch[[#This Row],[Name]],SINGLE_RESPONSES[],8,FALSE)</f>
        <v>4</v>
      </c>
      <c r="I61" s="31" t="str">
        <f>IF(Reason_to_switch[[#This Row],[Switch_Status]]="Not Switched",Reason_to_switch[[#This Row],[Switch_Status]],"TRUE")</f>
        <v>TRUE</v>
      </c>
      <c r="J61" s="31" t="s">
        <v>813</v>
      </c>
      <c r="K61" s="31" t="s">
        <v>784</v>
      </c>
    </row>
    <row r="62" spans="1:11" x14ac:dyDescent="0.3">
      <c r="A62" s="31" t="s">
        <v>337</v>
      </c>
      <c r="B62" s="31" t="s">
        <v>329</v>
      </c>
      <c r="C62" s="31" t="s">
        <v>32</v>
      </c>
      <c r="D62" s="31" t="s">
        <v>329</v>
      </c>
      <c r="E62" s="31" t="s">
        <v>339</v>
      </c>
      <c r="F62" s="31" t="s">
        <v>339</v>
      </c>
      <c r="G62" s="31" t="s">
        <v>783</v>
      </c>
      <c r="H62" s="31" t="str">
        <f>VLOOKUP(Reason_to_switch[[#This Row],[Name]],SINGLE_RESPONSES[],8,FALSE)</f>
        <v>6</v>
      </c>
      <c r="I62" s="31" t="str">
        <f>IF(Reason_to_switch[[#This Row],[Switch_Status]]="Not Switched",Reason_to_switch[[#This Row],[Switch_Status]],"TRUE")</f>
        <v>TRUE</v>
      </c>
      <c r="J62" s="31" t="s">
        <v>813</v>
      </c>
      <c r="K62" s="31" t="s">
        <v>782</v>
      </c>
    </row>
    <row r="63" spans="1:11" x14ac:dyDescent="0.3">
      <c r="A63" s="31" t="s">
        <v>342</v>
      </c>
      <c r="B63" s="31" t="s">
        <v>329</v>
      </c>
      <c r="C63" s="31" t="s">
        <v>32</v>
      </c>
      <c r="D63" s="31" t="s">
        <v>369</v>
      </c>
      <c r="E63" s="31" t="s">
        <v>343</v>
      </c>
      <c r="F63" s="31" t="s">
        <v>343</v>
      </c>
      <c r="G63" s="31" t="s">
        <v>794</v>
      </c>
      <c r="H63" s="31" t="str">
        <f>VLOOKUP(Reason_to_switch[[#This Row],[Name]],SINGLE_RESPONSES[],8,FALSE)</f>
        <v>7</v>
      </c>
      <c r="I63" s="31" t="str">
        <f>IF(Reason_to_switch[[#This Row],[Switch_Status]]="Not Switched",Reason_to_switch[[#This Row],[Switch_Status]],"TRUE")</f>
        <v>TRUE</v>
      </c>
      <c r="J63" s="31" t="s">
        <v>813</v>
      </c>
      <c r="K63" s="31" t="s">
        <v>782</v>
      </c>
    </row>
    <row r="64" spans="1:11" x14ac:dyDescent="0.3">
      <c r="A64" s="31" t="s">
        <v>186</v>
      </c>
      <c r="B64" s="31" t="s">
        <v>32</v>
      </c>
      <c r="C64" s="31" t="s">
        <v>369</v>
      </c>
      <c r="D64" s="31" t="s">
        <v>32</v>
      </c>
      <c r="E64" s="31" t="s">
        <v>346</v>
      </c>
      <c r="F64" s="31" t="s">
        <v>346</v>
      </c>
      <c r="G64" s="31" t="s">
        <v>792</v>
      </c>
      <c r="H64" s="31" t="str">
        <f>VLOOKUP(Reason_to_switch[[#This Row],[Name]],SINGLE_RESPONSES[],8,FALSE)</f>
        <v>6</v>
      </c>
      <c r="I64" s="31" t="str">
        <f>IF(Reason_to_switch[[#This Row],[Switch_Status]]="Not Switched",Reason_to_switch[[#This Row],[Switch_Status]],"TRUE")</f>
        <v>TRUE</v>
      </c>
      <c r="J64" s="31" t="s">
        <v>811</v>
      </c>
      <c r="K64" s="31" t="s">
        <v>784</v>
      </c>
    </row>
    <row r="65" spans="1:11" x14ac:dyDescent="0.3">
      <c r="A65" s="31" t="s">
        <v>349</v>
      </c>
      <c r="B65" s="31" t="s">
        <v>32</v>
      </c>
      <c r="C65" s="31" t="s">
        <v>369</v>
      </c>
      <c r="D65" s="31" t="s">
        <v>32</v>
      </c>
      <c r="E65" s="31" t="s">
        <v>351</v>
      </c>
      <c r="F65" s="31" t="s">
        <v>351</v>
      </c>
      <c r="G65" s="31" t="s">
        <v>782</v>
      </c>
      <c r="H65" s="31" t="str">
        <f>VLOOKUP(Reason_to_switch[[#This Row],[Name]],SINGLE_RESPONSES[],8,FALSE)</f>
        <v>3</v>
      </c>
      <c r="I65" s="31" t="str">
        <f>IF(Reason_to_switch[[#This Row],[Switch_Status]]="Not Switched",Reason_to_switch[[#This Row],[Switch_Status]],"TRUE")</f>
        <v>TRUE</v>
      </c>
      <c r="J65" s="31" t="s">
        <v>813</v>
      </c>
      <c r="K65" s="31" t="s">
        <v>782</v>
      </c>
    </row>
    <row r="66" spans="1:11" x14ac:dyDescent="0.3">
      <c r="A66" s="31" t="s">
        <v>354</v>
      </c>
      <c r="B66" s="31" t="s">
        <v>329</v>
      </c>
      <c r="C66" s="31" t="s">
        <v>32</v>
      </c>
      <c r="D66" s="31" t="s">
        <v>329</v>
      </c>
      <c r="E66" s="31" t="s">
        <v>132</v>
      </c>
      <c r="F66" s="31" t="s">
        <v>132</v>
      </c>
      <c r="G66" s="31" t="s">
        <v>782</v>
      </c>
      <c r="H66" s="31" t="str">
        <f>VLOOKUP(Reason_to_switch[[#This Row],[Name]],SINGLE_RESPONSES[],8,FALSE)</f>
        <v>4</v>
      </c>
      <c r="I66" s="31" t="str">
        <f>IF(Reason_to_switch[[#This Row],[Switch_Status]]="Not Switched",Reason_to_switch[[#This Row],[Switch_Status]],"TRUE")</f>
        <v>TRUE</v>
      </c>
      <c r="J66" s="31" t="s">
        <v>813</v>
      </c>
      <c r="K66" s="31" t="s">
        <v>784</v>
      </c>
    </row>
    <row r="67" spans="1:11" x14ac:dyDescent="0.3">
      <c r="A67" s="31" t="s">
        <v>357</v>
      </c>
      <c r="B67" s="31" t="s">
        <v>329</v>
      </c>
      <c r="C67" s="31" t="s">
        <v>369</v>
      </c>
      <c r="D67" s="31" t="s">
        <v>329</v>
      </c>
      <c r="E67" s="31" t="s">
        <v>358</v>
      </c>
      <c r="F67" s="31" t="s">
        <v>358</v>
      </c>
      <c r="G67" s="31" t="s">
        <v>785</v>
      </c>
      <c r="H67" s="31" t="str">
        <f>VLOOKUP(Reason_to_switch[[#This Row],[Name]],SINGLE_RESPONSES[],8,FALSE)</f>
        <v>7</v>
      </c>
      <c r="I67" s="31" t="str">
        <f>IF(Reason_to_switch[[#This Row],[Switch_Status]]="Not Switched",Reason_to_switch[[#This Row],[Switch_Status]],"TRUE")</f>
        <v>TRUE</v>
      </c>
      <c r="J67" s="31" t="s">
        <v>813</v>
      </c>
      <c r="K67" s="31" t="s">
        <v>782</v>
      </c>
    </row>
    <row r="68" spans="1:11" x14ac:dyDescent="0.3">
      <c r="A68" s="31" t="s">
        <v>361</v>
      </c>
      <c r="B68" s="31" t="s">
        <v>329</v>
      </c>
      <c r="C68" s="31" t="s">
        <v>329</v>
      </c>
      <c r="D68" s="31" t="s">
        <v>329</v>
      </c>
      <c r="E68" s="31" t="s">
        <v>362</v>
      </c>
      <c r="F68" s="31" t="s">
        <v>812</v>
      </c>
      <c r="G68" s="31" t="str">
        <f>IF(Reason_to_switch[[#This Row],[Switch_Status]]="Not Switched",Reason_to_switch[[#This Row],[Switch_Status]])</f>
        <v>Not Switched</v>
      </c>
      <c r="H68" s="31" t="str">
        <f>VLOOKUP(Reason_to_switch[[#This Row],[Name]],SINGLE_RESPONSES[],8,FALSE)</f>
        <v>2</v>
      </c>
      <c r="I68" s="31" t="str">
        <f>IF(Reason_to_switch[[#This Row],[Switch_Status]]="Not Switched",Reason_to_switch[[#This Row],[Switch_Status]],"TRUE")</f>
        <v>Not Switched</v>
      </c>
      <c r="J68" s="31" t="s">
        <v>763</v>
      </c>
      <c r="K68" s="31" t="s">
        <v>801</v>
      </c>
    </row>
    <row r="69" spans="1:11" x14ac:dyDescent="0.3">
      <c r="A69" s="31" t="s">
        <v>365</v>
      </c>
      <c r="B69" s="31" t="s">
        <v>329</v>
      </c>
      <c r="C69" s="31" t="s">
        <v>32</v>
      </c>
      <c r="D69" s="31" t="s">
        <v>329</v>
      </c>
      <c r="E69" s="31" t="s">
        <v>367</v>
      </c>
      <c r="F69" s="31" t="s">
        <v>367</v>
      </c>
      <c r="G69" s="31" t="s">
        <v>793</v>
      </c>
      <c r="H69" s="31" t="str">
        <f>VLOOKUP(Reason_to_switch[[#This Row],[Name]],SINGLE_RESPONSES[],8,FALSE)</f>
        <v>6</v>
      </c>
      <c r="I69" s="31" t="str">
        <f>IF(Reason_to_switch[[#This Row],[Switch_Status]]="Not Switched",Reason_to_switch[[#This Row],[Switch_Status]],"TRUE")</f>
        <v>TRUE</v>
      </c>
      <c r="J69" s="31" t="s">
        <v>811</v>
      </c>
      <c r="K69" s="31" t="s">
        <v>783</v>
      </c>
    </row>
    <row r="70" spans="1:11" x14ac:dyDescent="0.3">
      <c r="A70" s="31" t="s">
        <v>371</v>
      </c>
      <c r="B70" s="31" t="s">
        <v>32</v>
      </c>
      <c r="C70" s="31" t="s">
        <v>32</v>
      </c>
      <c r="D70" s="31" t="s">
        <v>32</v>
      </c>
      <c r="E70" s="31" t="s">
        <v>372</v>
      </c>
      <c r="F70" s="31" t="s">
        <v>812</v>
      </c>
      <c r="G70" s="31" t="str">
        <f>IF(Reason_to_switch[[#This Row],[Switch_Status]]="Not Switched",Reason_to_switch[[#This Row],[Switch_Status]])</f>
        <v>Not Switched</v>
      </c>
      <c r="H70" s="31" t="str">
        <f>VLOOKUP(Reason_to_switch[[#This Row],[Name]],SINGLE_RESPONSES[],8,FALSE)</f>
        <v>7</v>
      </c>
      <c r="I70" s="31" t="str">
        <f>IF(Reason_to_switch[[#This Row],[Switch_Status]]="Not Switched",Reason_to_switch[[#This Row],[Switch_Status]],"TRUE")</f>
        <v>Not Switched</v>
      </c>
      <c r="J70" s="31" t="s">
        <v>763</v>
      </c>
      <c r="K70" s="31" t="s">
        <v>800</v>
      </c>
    </row>
    <row r="71" spans="1:11" x14ac:dyDescent="0.3">
      <c r="A71" s="31" t="s">
        <v>375</v>
      </c>
      <c r="B71" s="31" t="s">
        <v>32</v>
      </c>
      <c r="C71" s="31" t="s">
        <v>717</v>
      </c>
      <c r="D71" s="31" t="s">
        <v>32</v>
      </c>
      <c r="E71" s="31" t="s">
        <v>376</v>
      </c>
      <c r="F71" s="31" t="s">
        <v>376</v>
      </c>
      <c r="G71" s="31" t="s">
        <v>792</v>
      </c>
      <c r="H71" s="31" t="str">
        <f>VLOOKUP(Reason_to_switch[[#This Row],[Name]],SINGLE_RESPONSES[],8,FALSE)</f>
        <v>5</v>
      </c>
      <c r="I71" s="31" t="str">
        <f>IF(Reason_to_switch[[#This Row],[Switch_Status]]="Not Switched",Reason_to_switch[[#This Row],[Switch_Status]],"TRUE")</f>
        <v>TRUE</v>
      </c>
      <c r="J71" s="31" t="s">
        <v>811</v>
      </c>
      <c r="K71" s="31" t="s">
        <v>784</v>
      </c>
    </row>
    <row r="72" spans="1:11" x14ac:dyDescent="0.3">
      <c r="A72" s="31" t="s">
        <v>379</v>
      </c>
      <c r="B72" s="31" t="s">
        <v>32</v>
      </c>
      <c r="C72" s="31" t="s">
        <v>32</v>
      </c>
      <c r="D72" s="31" t="s">
        <v>32</v>
      </c>
      <c r="E72" s="31" t="s">
        <v>380</v>
      </c>
      <c r="F72" s="31" t="s">
        <v>812</v>
      </c>
      <c r="G72" s="31" t="str">
        <f>IF(Reason_to_switch[[#This Row],[Switch_Status]]="Not Switched",Reason_to_switch[[#This Row],[Switch_Status]])</f>
        <v>Not Switched</v>
      </c>
      <c r="H72" s="31" t="str">
        <f>VLOOKUP(Reason_to_switch[[#This Row],[Name]],SINGLE_RESPONSES[],8,FALSE)</f>
        <v>7</v>
      </c>
      <c r="I72" s="31" t="str">
        <f>IF(Reason_to_switch[[#This Row],[Switch_Status]]="Not Switched",Reason_to_switch[[#This Row],[Switch_Status]],"TRUE")</f>
        <v>Not Switched</v>
      </c>
      <c r="J72" s="31" t="s">
        <v>763</v>
      </c>
      <c r="K72" s="31" t="s">
        <v>783</v>
      </c>
    </row>
    <row r="73" spans="1:11" x14ac:dyDescent="0.3">
      <c r="A73" s="31" t="s">
        <v>383</v>
      </c>
      <c r="B73" s="31" t="s">
        <v>329</v>
      </c>
      <c r="C73" s="31" t="s">
        <v>329</v>
      </c>
      <c r="D73" s="31" t="s">
        <v>717</v>
      </c>
      <c r="E73" s="31" t="s">
        <v>385</v>
      </c>
      <c r="F73" s="31" t="s">
        <v>812</v>
      </c>
      <c r="G73" s="31" t="str">
        <f>IF(Reason_to_switch[[#This Row],[Switch_Status]]="Not Switched",Reason_to_switch[[#This Row],[Switch_Status]])</f>
        <v>Not Switched</v>
      </c>
      <c r="H73" s="31" t="str">
        <f>VLOOKUP(Reason_to_switch[[#This Row],[Name]],SINGLE_RESPONSES[],8,FALSE)</f>
        <v>7</v>
      </c>
      <c r="I73" s="31" t="str">
        <f>IF(Reason_to_switch[[#This Row],[Switch_Status]]="Not Switched",Reason_to_switch[[#This Row],[Switch_Status]],"TRUE")</f>
        <v>Not Switched</v>
      </c>
      <c r="J73" s="31" t="s">
        <v>763</v>
      </c>
      <c r="K73" s="31" t="s">
        <v>782</v>
      </c>
    </row>
    <row r="74" spans="1:11" x14ac:dyDescent="0.3">
      <c r="A74" s="31" t="s">
        <v>388</v>
      </c>
      <c r="B74" s="31" t="s">
        <v>717</v>
      </c>
      <c r="C74" s="31" t="s">
        <v>717</v>
      </c>
      <c r="D74" s="31" t="s">
        <v>369</v>
      </c>
      <c r="E74" s="31" t="s">
        <v>392</v>
      </c>
      <c r="F74" s="31" t="s">
        <v>812</v>
      </c>
      <c r="G74" s="31" t="str">
        <f>IF(Reason_to_switch[[#This Row],[Switch_Status]]="Not Switched",Reason_to_switch[[#This Row],[Switch_Status]])</f>
        <v>Not Switched</v>
      </c>
      <c r="H74" s="31" t="str">
        <f>VLOOKUP(Reason_to_switch[[#This Row],[Name]],SINGLE_RESPONSES[],8,FALSE)</f>
        <v>5</v>
      </c>
      <c r="I74" s="31" t="str">
        <f>IF(Reason_to_switch[[#This Row],[Switch_Status]]="Not Switched",Reason_to_switch[[#This Row],[Switch_Status]],"TRUE")</f>
        <v>Not Switched</v>
      </c>
      <c r="J74" s="31" t="s">
        <v>763</v>
      </c>
      <c r="K74" s="31" t="s">
        <v>783</v>
      </c>
    </row>
    <row r="75" spans="1:11" x14ac:dyDescent="0.3">
      <c r="A75" s="31" t="s">
        <v>396</v>
      </c>
      <c r="B75" s="31" t="s">
        <v>329</v>
      </c>
      <c r="C75" s="31" t="s">
        <v>717</v>
      </c>
      <c r="D75" s="31" t="s">
        <v>329</v>
      </c>
      <c r="E75" s="31" t="s">
        <v>397</v>
      </c>
      <c r="F75" s="31" t="s">
        <v>397</v>
      </c>
      <c r="G75" s="31" t="s">
        <v>814</v>
      </c>
      <c r="H75" s="31" t="str">
        <f>VLOOKUP(Reason_to_switch[[#This Row],[Name]],SINGLE_RESPONSES[],8,FALSE)</f>
        <v>7</v>
      </c>
      <c r="I75" s="31" t="str">
        <f>IF(Reason_to_switch[[#This Row],[Switch_Status]]="Not Switched",Reason_to_switch[[#This Row],[Switch_Status]],"TRUE")</f>
        <v>TRUE</v>
      </c>
      <c r="J75" s="31" t="s">
        <v>811</v>
      </c>
      <c r="K75" s="31" t="s">
        <v>801</v>
      </c>
    </row>
    <row r="76" spans="1:11" x14ac:dyDescent="0.3">
      <c r="A76" s="31" t="s">
        <v>401</v>
      </c>
      <c r="B76" s="31" t="s">
        <v>329</v>
      </c>
      <c r="C76" s="31" t="s">
        <v>369</v>
      </c>
      <c r="D76" s="31" t="s">
        <v>329</v>
      </c>
      <c r="E76" s="31" t="s">
        <v>402</v>
      </c>
      <c r="F76" s="31" t="s">
        <v>402</v>
      </c>
      <c r="G76" s="31" t="s">
        <v>782</v>
      </c>
      <c r="H76" s="31" t="str">
        <f>VLOOKUP(Reason_to_switch[[#This Row],[Name]],SINGLE_RESPONSES[],8,FALSE)</f>
        <v>7</v>
      </c>
      <c r="I76" s="31" t="str">
        <f>IF(Reason_to_switch[[#This Row],[Switch_Status]]="Not Switched",Reason_to_switch[[#This Row],[Switch_Status]],"TRUE")</f>
        <v>TRUE</v>
      </c>
      <c r="J76" s="31" t="s">
        <v>813</v>
      </c>
      <c r="K76" s="31" t="s">
        <v>782</v>
      </c>
    </row>
    <row r="77" spans="1:11" x14ac:dyDescent="0.3">
      <c r="A77" s="31" t="s">
        <v>404</v>
      </c>
      <c r="B77" s="31" t="s">
        <v>717</v>
      </c>
      <c r="C77" s="31" t="s">
        <v>329</v>
      </c>
      <c r="D77" s="31" t="s">
        <v>717</v>
      </c>
      <c r="E77" s="31" t="s">
        <v>406</v>
      </c>
      <c r="F77" s="31" t="s">
        <v>406</v>
      </c>
      <c r="G77" s="31" t="s">
        <v>792</v>
      </c>
      <c r="H77" s="31" t="str">
        <f>VLOOKUP(Reason_to_switch[[#This Row],[Name]],SINGLE_RESPONSES[],8,FALSE)</f>
        <v>5</v>
      </c>
      <c r="I77" s="31" t="str">
        <f>IF(Reason_to_switch[[#This Row],[Switch_Status]]="Not Switched",Reason_to_switch[[#This Row],[Switch_Status]],"TRUE")</f>
        <v>TRUE</v>
      </c>
      <c r="J77" s="31" t="s">
        <v>811</v>
      </c>
      <c r="K77" s="31" t="s">
        <v>801</v>
      </c>
    </row>
    <row r="78" spans="1:11" x14ac:dyDescent="0.3">
      <c r="A78" s="31" t="s">
        <v>409</v>
      </c>
      <c r="B78" s="31" t="s">
        <v>329</v>
      </c>
      <c r="C78" s="31" t="s">
        <v>329</v>
      </c>
      <c r="D78" s="31" t="s">
        <v>329</v>
      </c>
      <c r="E78" s="31" t="s">
        <v>410</v>
      </c>
      <c r="F78" s="31" t="s">
        <v>812</v>
      </c>
      <c r="G78" s="31" t="str">
        <f>IF(Reason_to_switch[[#This Row],[Switch_Status]]="Not Switched",Reason_to_switch[[#This Row],[Switch_Status]])</f>
        <v>Not Switched</v>
      </c>
      <c r="H78" s="31" t="str">
        <f>VLOOKUP(Reason_to_switch[[#This Row],[Name]],SINGLE_RESPONSES[],8,FALSE)</f>
        <v>7</v>
      </c>
      <c r="I78" s="31" t="str">
        <f>IF(Reason_to_switch[[#This Row],[Switch_Status]]="Not Switched",Reason_to_switch[[#This Row],[Switch_Status]],"TRUE")</f>
        <v>Not Switched</v>
      </c>
      <c r="J78" s="31" t="s">
        <v>763</v>
      </c>
      <c r="K78" s="31" t="s">
        <v>786</v>
      </c>
    </row>
    <row r="79" spans="1:11" x14ac:dyDescent="0.3">
      <c r="A79" s="31" t="s">
        <v>413</v>
      </c>
      <c r="B79" s="31" t="s">
        <v>329</v>
      </c>
      <c r="C79" s="31" t="s">
        <v>329</v>
      </c>
      <c r="D79" s="31" t="s">
        <v>329</v>
      </c>
      <c r="E79" s="31" t="s">
        <v>156</v>
      </c>
      <c r="F79" s="31" t="s">
        <v>812</v>
      </c>
      <c r="G79" s="31" t="str">
        <f>IF(Reason_to_switch[[#This Row],[Switch_Status]]="Not Switched",Reason_to_switch[[#This Row],[Switch_Status]])</f>
        <v>Not Switched</v>
      </c>
      <c r="H79" s="31" t="str">
        <f>VLOOKUP(Reason_to_switch[[#This Row],[Name]],SINGLE_RESPONSES[],8,FALSE)</f>
        <v>4</v>
      </c>
      <c r="I79" s="31" t="str">
        <f>IF(Reason_to_switch[[#This Row],[Switch_Status]]="Not Switched",Reason_to_switch[[#This Row],[Switch_Status]],"TRUE")</f>
        <v>Not Switched</v>
      </c>
      <c r="J79" s="31" t="s">
        <v>763</v>
      </c>
      <c r="K79" s="31" t="s">
        <v>801</v>
      </c>
    </row>
    <row r="80" spans="1:11" x14ac:dyDescent="0.3">
      <c r="A80" s="31" t="s">
        <v>416</v>
      </c>
      <c r="B80" s="31" t="s">
        <v>329</v>
      </c>
      <c r="C80" s="31" t="s">
        <v>329</v>
      </c>
      <c r="D80" s="31" t="s">
        <v>329</v>
      </c>
      <c r="E80" s="31" t="s">
        <v>417</v>
      </c>
      <c r="F80" s="31" t="s">
        <v>812</v>
      </c>
      <c r="G80" s="31" t="str">
        <f>IF(Reason_to_switch[[#This Row],[Switch_Status]]="Not Switched",Reason_to_switch[[#This Row],[Switch_Status]])</f>
        <v>Not Switched</v>
      </c>
      <c r="H80" s="31" t="str">
        <f>VLOOKUP(Reason_to_switch[[#This Row],[Name]],SINGLE_RESPONSES[],8,FALSE)</f>
        <v>2</v>
      </c>
      <c r="I80" s="31" t="str">
        <f>IF(Reason_to_switch[[#This Row],[Switch_Status]]="Not Switched",Reason_to_switch[[#This Row],[Switch_Status]],"TRUE")</f>
        <v>Not Switched</v>
      </c>
      <c r="J80" s="31" t="s">
        <v>763</v>
      </c>
      <c r="K80" s="31" t="s">
        <v>783</v>
      </c>
    </row>
    <row r="81" spans="1:11" x14ac:dyDescent="0.3">
      <c r="A81" s="31" t="s">
        <v>420</v>
      </c>
      <c r="B81" s="31" t="s">
        <v>369</v>
      </c>
      <c r="C81" s="31" t="s">
        <v>32</v>
      </c>
      <c r="D81" s="31" t="s">
        <v>369</v>
      </c>
      <c r="E81" s="31" t="s">
        <v>422</v>
      </c>
      <c r="F81" s="31" t="s">
        <v>422</v>
      </c>
      <c r="G81" s="31" t="s">
        <v>792</v>
      </c>
      <c r="H81" s="31" t="str">
        <f>VLOOKUP(Reason_to_switch[[#This Row],[Name]],SINGLE_RESPONSES[],8,FALSE)</f>
        <v>4</v>
      </c>
      <c r="I81" s="31" t="str">
        <f>IF(Reason_to_switch[[#This Row],[Switch_Status]]="Not Switched",Reason_to_switch[[#This Row],[Switch_Status]],"TRUE")</f>
        <v>TRUE</v>
      </c>
      <c r="J81" s="31" t="s">
        <v>811</v>
      </c>
      <c r="K81" s="31" t="s">
        <v>783</v>
      </c>
    </row>
    <row r="82" spans="1:11" x14ac:dyDescent="0.3">
      <c r="A82" s="31" t="s">
        <v>425</v>
      </c>
      <c r="B82" s="31" t="s">
        <v>329</v>
      </c>
      <c r="C82" s="31" t="s">
        <v>32</v>
      </c>
      <c r="D82" s="31" t="s">
        <v>369</v>
      </c>
      <c r="E82" s="31" t="s">
        <v>428</v>
      </c>
      <c r="F82" s="31" t="s">
        <v>428</v>
      </c>
      <c r="G82" s="31" t="s">
        <v>783</v>
      </c>
      <c r="H82" s="31" t="str">
        <f>VLOOKUP(Reason_to_switch[[#This Row],[Name]],SINGLE_RESPONSES[],8,FALSE)</f>
        <v>7</v>
      </c>
      <c r="I82" s="31" t="str">
        <f>IF(Reason_to_switch[[#This Row],[Switch_Status]]="Not Switched",Reason_to_switch[[#This Row],[Switch_Status]],"TRUE")</f>
        <v>TRUE</v>
      </c>
      <c r="J82" s="31" t="s">
        <v>813</v>
      </c>
      <c r="K82" s="31" t="s">
        <v>782</v>
      </c>
    </row>
    <row r="83" spans="1:11" x14ac:dyDescent="0.3">
      <c r="A83" s="31" t="s">
        <v>430</v>
      </c>
      <c r="B83" s="31" t="s">
        <v>32</v>
      </c>
      <c r="C83" s="31" t="s">
        <v>329</v>
      </c>
      <c r="D83" s="31" t="s">
        <v>32</v>
      </c>
      <c r="E83" s="31" t="s">
        <v>431</v>
      </c>
      <c r="F83" s="31" t="s">
        <v>431</v>
      </c>
      <c r="G83" s="31" t="s">
        <v>786</v>
      </c>
      <c r="H83" s="31" t="str">
        <f>VLOOKUP(Reason_to_switch[[#This Row],[Name]],SINGLE_RESPONSES[],8,FALSE)</f>
        <v>6</v>
      </c>
      <c r="I83" s="31" t="str">
        <f>IF(Reason_to_switch[[#This Row],[Switch_Status]]="Not Switched",Reason_to_switch[[#This Row],[Switch_Status]],"TRUE")</f>
        <v>TRUE</v>
      </c>
      <c r="J83" s="31" t="s">
        <v>813</v>
      </c>
      <c r="K83" s="31" t="s">
        <v>783</v>
      </c>
    </row>
    <row r="84" spans="1:11" x14ac:dyDescent="0.3">
      <c r="A84" s="31" t="s">
        <v>434</v>
      </c>
      <c r="B84" s="31" t="s">
        <v>329</v>
      </c>
      <c r="C84" s="31" t="s">
        <v>32</v>
      </c>
      <c r="D84" s="31" t="s">
        <v>329</v>
      </c>
      <c r="E84" s="31" t="s">
        <v>156</v>
      </c>
      <c r="F84" s="31" t="s">
        <v>156</v>
      </c>
      <c r="G84" s="31" t="s">
        <v>782</v>
      </c>
      <c r="H84" s="31" t="str">
        <f>VLOOKUP(Reason_to_switch[[#This Row],[Name]],SINGLE_RESPONSES[],8,FALSE)</f>
        <v>5</v>
      </c>
      <c r="I84" s="31" t="str">
        <f>IF(Reason_to_switch[[#This Row],[Switch_Status]]="Not Switched",Reason_to_switch[[#This Row],[Switch_Status]],"TRUE")</f>
        <v>TRUE</v>
      </c>
      <c r="J84" s="31" t="s">
        <v>813</v>
      </c>
      <c r="K84" s="31" t="s">
        <v>782</v>
      </c>
    </row>
    <row r="85" spans="1:11" x14ac:dyDescent="0.3">
      <c r="A85" s="31" t="s">
        <v>437</v>
      </c>
      <c r="B85" s="31" t="s">
        <v>329</v>
      </c>
      <c r="C85" s="31" t="s">
        <v>32</v>
      </c>
      <c r="D85" s="31" t="s">
        <v>329</v>
      </c>
      <c r="E85" s="31" t="s">
        <v>438</v>
      </c>
      <c r="F85" s="31" t="s">
        <v>438</v>
      </c>
      <c r="G85" s="31" t="s">
        <v>784</v>
      </c>
      <c r="H85" s="31" t="str">
        <f>VLOOKUP(Reason_to_switch[[#This Row],[Name]],SINGLE_RESPONSES[],8,FALSE)</f>
        <v>2</v>
      </c>
      <c r="I85" s="31" t="str">
        <f>IF(Reason_to_switch[[#This Row],[Switch_Status]]="Not Switched",Reason_to_switch[[#This Row],[Switch_Status]],"TRUE")</f>
        <v>TRUE</v>
      </c>
      <c r="J85" s="31" t="s">
        <v>813</v>
      </c>
      <c r="K85" s="31" t="s">
        <v>784</v>
      </c>
    </row>
    <row r="86" spans="1:11" x14ac:dyDescent="0.3">
      <c r="A86" s="31" t="s">
        <v>441</v>
      </c>
      <c r="B86" s="31" t="s">
        <v>717</v>
      </c>
      <c r="C86" s="31" t="s">
        <v>329</v>
      </c>
      <c r="D86" s="31" t="s">
        <v>717</v>
      </c>
      <c r="E86" s="31" t="s">
        <v>442</v>
      </c>
      <c r="F86" s="31" t="s">
        <v>442</v>
      </c>
      <c r="G86" s="31" t="s">
        <v>794</v>
      </c>
      <c r="H86" s="31" t="str">
        <f>VLOOKUP(Reason_to_switch[[#This Row],[Name]],SINGLE_RESPONSES[],8,FALSE)</f>
        <v>7</v>
      </c>
      <c r="I86" s="31" t="str">
        <f>IF(Reason_to_switch[[#This Row],[Switch_Status]]="Not Switched",Reason_to_switch[[#This Row],[Switch_Status]],"TRUE")</f>
        <v>TRUE</v>
      </c>
      <c r="J86" s="31" t="s">
        <v>813</v>
      </c>
      <c r="K86" s="31" t="s">
        <v>794</v>
      </c>
    </row>
    <row r="87" spans="1:11" x14ac:dyDescent="0.3">
      <c r="A87" s="31" t="s">
        <v>444</v>
      </c>
      <c r="B87" s="31" t="s">
        <v>369</v>
      </c>
      <c r="C87" s="31" t="s">
        <v>369</v>
      </c>
      <c r="D87" s="31" t="s">
        <v>369</v>
      </c>
      <c r="E87" s="31" t="s">
        <v>446</v>
      </c>
      <c r="F87" s="31" t="s">
        <v>812</v>
      </c>
      <c r="G87" s="31" t="str">
        <f>IF(Reason_to_switch[[#This Row],[Switch_Status]]="Not Switched",Reason_to_switch[[#This Row],[Switch_Status]])</f>
        <v>Not Switched</v>
      </c>
      <c r="H87" s="31" t="str">
        <f>VLOOKUP(Reason_to_switch[[#This Row],[Name]],SINGLE_RESPONSES[],8,FALSE)</f>
        <v>7</v>
      </c>
      <c r="I87" s="31" t="str">
        <f>IF(Reason_to_switch[[#This Row],[Switch_Status]]="Not Switched",Reason_to_switch[[#This Row],[Switch_Status]],"TRUE")</f>
        <v>Not Switched</v>
      </c>
      <c r="J87" s="31" t="s">
        <v>763</v>
      </c>
      <c r="K87" s="31" t="s">
        <v>782</v>
      </c>
    </row>
    <row r="88" spans="1:11" x14ac:dyDescent="0.3">
      <c r="A88" s="31" t="s">
        <v>450</v>
      </c>
      <c r="B88" s="31" t="s">
        <v>329</v>
      </c>
      <c r="C88" s="31" t="s">
        <v>32</v>
      </c>
      <c r="D88" s="31" t="s">
        <v>329</v>
      </c>
      <c r="E88" s="31" t="s">
        <v>452</v>
      </c>
      <c r="F88" s="31" t="s">
        <v>452</v>
      </c>
      <c r="G88" s="31" t="s">
        <v>794</v>
      </c>
      <c r="H88" s="31" t="str">
        <f>VLOOKUP(Reason_to_switch[[#This Row],[Name]],SINGLE_RESPONSES[],8,FALSE)</f>
        <v>5</v>
      </c>
      <c r="I88" s="31" t="str">
        <f>IF(Reason_to_switch[[#This Row],[Switch_Status]]="Not Switched",Reason_to_switch[[#This Row],[Switch_Status]],"TRUE")</f>
        <v>TRUE</v>
      </c>
      <c r="J88" s="31" t="s">
        <v>813</v>
      </c>
      <c r="K88" s="31" t="s">
        <v>800</v>
      </c>
    </row>
    <row r="89" spans="1:11" x14ac:dyDescent="0.3">
      <c r="A89" s="31" t="s">
        <v>455</v>
      </c>
      <c r="B89" s="31" t="s">
        <v>329</v>
      </c>
      <c r="C89" s="31" t="s">
        <v>329</v>
      </c>
      <c r="D89" s="31" t="s">
        <v>329</v>
      </c>
      <c r="E89" s="31" t="s">
        <v>457</v>
      </c>
      <c r="F89" s="31" t="s">
        <v>812</v>
      </c>
      <c r="G89" s="31" t="str">
        <f>IF(Reason_to_switch[[#This Row],[Switch_Status]]="Not Switched",Reason_to_switch[[#This Row],[Switch_Status]])</f>
        <v>Not Switched</v>
      </c>
      <c r="H89" s="31" t="str">
        <f>VLOOKUP(Reason_to_switch[[#This Row],[Name]],SINGLE_RESPONSES[],8,FALSE)</f>
        <v>1</v>
      </c>
      <c r="I89" s="31" t="str">
        <f>IF(Reason_to_switch[[#This Row],[Switch_Status]]="Not Switched",Reason_to_switch[[#This Row],[Switch_Status]],"TRUE")</f>
        <v>Not Switched</v>
      </c>
      <c r="J89" s="31" t="s">
        <v>763</v>
      </c>
      <c r="K89" s="31" t="s">
        <v>800</v>
      </c>
    </row>
    <row r="90" spans="1:11" x14ac:dyDescent="0.3">
      <c r="A90" s="31" t="s">
        <v>460</v>
      </c>
      <c r="B90" s="31" t="s">
        <v>32</v>
      </c>
      <c r="C90" s="31" t="s">
        <v>32</v>
      </c>
      <c r="D90" s="31" t="s">
        <v>369</v>
      </c>
      <c r="E90" s="31" t="s">
        <v>462</v>
      </c>
      <c r="F90" s="31" t="s">
        <v>812</v>
      </c>
      <c r="G90" s="31" t="str">
        <f>IF(Reason_to_switch[[#This Row],[Switch_Status]]="Not Switched",Reason_to_switch[[#This Row],[Switch_Status]])</f>
        <v>Not Switched</v>
      </c>
      <c r="H90" s="31" t="str">
        <f>VLOOKUP(Reason_to_switch[[#This Row],[Name]],SINGLE_RESPONSES[],8,FALSE)</f>
        <v>7</v>
      </c>
      <c r="I90" s="31" t="str">
        <f>IF(Reason_to_switch[[#This Row],[Switch_Status]]="Not Switched",Reason_to_switch[[#This Row],[Switch_Status]],"TRUE")</f>
        <v>Not Switched</v>
      </c>
      <c r="J90" s="31" t="s">
        <v>763</v>
      </c>
      <c r="K90" s="31" t="s">
        <v>783</v>
      </c>
    </row>
    <row r="91" spans="1:11" x14ac:dyDescent="0.3">
      <c r="A91" s="31" t="s">
        <v>465</v>
      </c>
      <c r="B91" s="31" t="s">
        <v>329</v>
      </c>
      <c r="C91" s="31" t="s">
        <v>329</v>
      </c>
      <c r="D91" s="31" t="s">
        <v>32</v>
      </c>
      <c r="E91" s="31" t="s">
        <v>466</v>
      </c>
      <c r="F91" s="31" t="s">
        <v>812</v>
      </c>
      <c r="G91" s="31" t="str">
        <f>IF(Reason_to_switch[[#This Row],[Switch_Status]]="Not Switched",Reason_to_switch[[#This Row],[Switch_Status]])</f>
        <v>Not Switched</v>
      </c>
      <c r="H91" s="31" t="str">
        <f>VLOOKUP(Reason_to_switch[[#This Row],[Name]],SINGLE_RESPONSES[],8,FALSE)</f>
        <v>7</v>
      </c>
      <c r="I91" s="31" t="str">
        <f>IF(Reason_to_switch[[#This Row],[Switch_Status]]="Not Switched",Reason_to_switch[[#This Row],[Switch_Status]],"TRUE")</f>
        <v>Not Switched</v>
      </c>
      <c r="J91" s="31" t="s">
        <v>763</v>
      </c>
      <c r="K91" s="31" t="s">
        <v>787</v>
      </c>
    </row>
    <row r="92" spans="1:11" x14ac:dyDescent="0.3">
      <c r="A92" s="31" t="s">
        <v>469</v>
      </c>
      <c r="B92" s="31" t="s">
        <v>329</v>
      </c>
      <c r="C92" s="31" t="s">
        <v>329</v>
      </c>
      <c r="D92" s="31" t="s">
        <v>329</v>
      </c>
      <c r="E92" s="31" t="s">
        <v>470</v>
      </c>
      <c r="F92" s="31" t="s">
        <v>812</v>
      </c>
      <c r="G92" s="31" t="str">
        <f>IF(Reason_to_switch[[#This Row],[Switch_Status]]="Not Switched",Reason_to_switch[[#This Row],[Switch_Status]])</f>
        <v>Not Switched</v>
      </c>
      <c r="H92" s="31" t="str">
        <f>VLOOKUP(Reason_to_switch[[#This Row],[Name]],SINGLE_RESPONSES[],8,FALSE)</f>
        <v>7</v>
      </c>
      <c r="I92" s="31" t="str">
        <f>IF(Reason_to_switch[[#This Row],[Switch_Status]]="Not Switched",Reason_to_switch[[#This Row],[Switch_Status]],"TRUE")</f>
        <v>Not Switched</v>
      </c>
      <c r="J92" s="31" t="s">
        <v>763</v>
      </c>
      <c r="K92" s="31" t="s">
        <v>800</v>
      </c>
    </row>
    <row r="93" spans="1:11" x14ac:dyDescent="0.3">
      <c r="A93" s="31" t="s">
        <v>473</v>
      </c>
      <c r="B93" s="31" t="s">
        <v>329</v>
      </c>
      <c r="C93" s="31" t="s">
        <v>329</v>
      </c>
      <c r="D93" s="31" t="s">
        <v>369</v>
      </c>
      <c r="E93" s="31" t="s">
        <v>132</v>
      </c>
      <c r="F93" s="31" t="s">
        <v>812</v>
      </c>
      <c r="G93" s="31" t="str">
        <f>IF(Reason_to_switch[[#This Row],[Switch_Status]]="Not Switched",Reason_to_switch[[#This Row],[Switch_Status]])</f>
        <v>Not Switched</v>
      </c>
      <c r="H93" s="31" t="str">
        <f>VLOOKUP(Reason_to_switch[[#This Row],[Name]],SINGLE_RESPONSES[],8,FALSE)</f>
        <v>7</v>
      </c>
      <c r="I93" s="31" t="str">
        <f>IF(Reason_to_switch[[#This Row],[Switch_Status]]="Not Switched",Reason_to_switch[[#This Row],[Switch_Status]],"TRUE")</f>
        <v>Not Switched</v>
      </c>
      <c r="J93" s="31" t="s">
        <v>763</v>
      </c>
      <c r="K93" s="31" t="s">
        <v>802</v>
      </c>
    </row>
    <row r="94" spans="1:11" x14ac:dyDescent="0.3">
      <c r="A94" s="31" t="s">
        <v>119</v>
      </c>
      <c r="B94" s="31" t="s">
        <v>329</v>
      </c>
      <c r="C94" s="31" t="s">
        <v>329</v>
      </c>
      <c r="D94" s="31" t="s">
        <v>329</v>
      </c>
      <c r="E94" s="31" t="s">
        <v>476</v>
      </c>
      <c r="F94" s="31" t="s">
        <v>812</v>
      </c>
      <c r="G94" s="31" t="str">
        <f>IF(Reason_to_switch[[#This Row],[Switch_Status]]="Not Switched",Reason_to_switch[[#This Row],[Switch_Status]])</f>
        <v>Not Switched</v>
      </c>
      <c r="H94" s="31" t="str">
        <f>VLOOKUP(Reason_to_switch[[#This Row],[Name]],SINGLE_RESPONSES[],8,FALSE)</f>
        <v>7</v>
      </c>
      <c r="I94" s="31" t="str">
        <f>IF(Reason_to_switch[[#This Row],[Switch_Status]]="Not Switched",Reason_to_switch[[#This Row],[Switch_Status]],"TRUE")</f>
        <v>Not Switched</v>
      </c>
      <c r="J94" s="31" t="s">
        <v>763</v>
      </c>
      <c r="K94" s="31" t="s">
        <v>784</v>
      </c>
    </row>
    <row r="95" spans="1:11" x14ac:dyDescent="0.3">
      <c r="A95" s="31" t="s">
        <v>479</v>
      </c>
      <c r="B95" s="31" t="s">
        <v>329</v>
      </c>
      <c r="C95" s="31" t="s">
        <v>329</v>
      </c>
      <c r="D95" s="31" t="s">
        <v>329</v>
      </c>
      <c r="E95" s="31" t="s">
        <v>480</v>
      </c>
      <c r="F95" s="31" t="s">
        <v>812</v>
      </c>
      <c r="G95" s="31" t="str">
        <f>IF(Reason_to_switch[[#This Row],[Switch_Status]]="Not Switched",Reason_to_switch[[#This Row],[Switch_Status]])</f>
        <v>Not Switched</v>
      </c>
      <c r="H95" s="31" t="str">
        <f>VLOOKUP(Reason_to_switch[[#This Row],[Name]],SINGLE_RESPONSES[],8,FALSE)</f>
        <v>6</v>
      </c>
      <c r="I95" s="31" t="str">
        <f>IF(Reason_to_switch[[#This Row],[Switch_Status]]="Not Switched",Reason_to_switch[[#This Row],[Switch_Status]],"TRUE")</f>
        <v>Not Switched</v>
      </c>
      <c r="J95" s="31" t="s">
        <v>763</v>
      </c>
      <c r="K95" s="31" t="s">
        <v>783</v>
      </c>
    </row>
    <row r="96" spans="1:11" x14ac:dyDescent="0.3">
      <c r="A96" s="31" t="s">
        <v>483</v>
      </c>
      <c r="B96" s="31" t="s">
        <v>717</v>
      </c>
      <c r="C96" s="31" t="s">
        <v>329</v>
      </c>
      <c r="D96" s="31" t="s">
        <v>369</v>
      </c>
      <c r="E96" s="31" t="s">
        <v>484</v>
      </c>
      <c r="F96" s="31" t="s">
        <v>484</v>
      </c>
      <c r="G96" s="31" t="s">
        <v>787</v>
      </c>
      <c r="H96" s="31" t="str">
        <f>VLOOKUP(Reason_to_switch[[#This Row],[Name]],SINGLE_RESPONSES[],8,FALSE)</f>
        <v>7</v>
      </c>
      <c r="I96" s="31" t="str">
        <f>IF(Reason_to_switch[[#This Row],[Switch_Status]]="Not Switched",Reason_to_switch[[#This Row],[Switch_Status]],"TRUE")</f>
        <v>TRUE</v>
      </c>
      <c r="J96" s="31" t="s">
        <v>813</v>
      </c>
      <c r="K96" s="31" t="s">
        <v>783</v>
      </c>
    </row>
    <row r="97" spans="1:11" x14ac:dyDescent="0.3">
      <c r="A97" s="31" t="s">
        <v>487</v>
      </c>
      <c r="B97" s="31" t="s">
        <v>329</v>
      </c>
      <c r="C97" s="31" t="s">
        <v>329</v>
      </c>
      <c r="D97" s="31" t="s">
        <v>329</v>
      </c>
      <c r="E97" s="31" t="s">
        <v>41</v>
      </c>
      <c r="F97" s="31" t="s">
        <v>812</v>
      </c>
      <c r="G97" s="31" t="str">
        <f>IF(Reason_to_switch[[#This Row],[Switch_Status]]="Not Switched",Reason_to_switch[[#This Row],[Switch_Status]])</f>
        <v>Not Switched</v>
      </c>
      <c r="H97" s="31" t="str">
        <f>VLOOKUP(Reason_to_switch[[#This Row],[Name]],SINGLE_RESPONSES[],8,FALSE)</f>
        <v>7</v>
      </c>
      <c r="I97" s="31" t="str">
        <f>IF(Reason_to_switch[[#This Row],[Switch_Status]]="Not Switched",Reason_to_switch[[#This Row],[Switch_Status]],"TRUE")</f>
        <v>Not Switched</v>
      </c>
      <c r="J97" s="31" t="s">
        <v>763</v>
      </c>
      <c r="K97" s="31" t="s">
        <v>801</v>
      </c>
    </row>
    <row r="98" spans="1:11" x14ac:dyDescent="0.3">
      <c r="A98" s="31" t="s">
        <v>490</v>
      </c>
      <c r="B98" s="31" t="s">
        <v>329</v>
      </c>
      <c r="C98" s="31" t="s">
        <v>32</v>
      </c>
      <c r="D98" s="31" t="s">
        <v>329</v>
      </c>
      <c r="E98" s="31" t="s">
        <v>492</v>
      </c>
      <c r="F98" s="31" t="s">
        <v>492</v>
      </c>
      <c r="G98" s="31" t="s">
        <v>784</v>
      </c>
      <c r="H98" s="31" t="str">
        <f>VLOOKUP(Reason_to_switch[[#This Row],[Name]],SINGLE_RESPONSES[],8,FALSE)</f>
        <v>7</v>
      </c>
      <c r="I98" s="31" t="str">
        <f>IF(Reason_to_switch[[#This Row],[Switch_Status]]="Not Switched",Reason_to_switch[[#This Row],[Switch_Status]],"TRUE")</f>
        <v>TRUE</v>
      </c>
      <c r="J98" s="31" t="s">
        <v>813</v>
      </c>
      <c r="K98" s="31" t="s">
        <v>787</v>
      </c>
    </row>
    <row r="99" spans="1:11" x14ac:dyDescent="0.3">
      <c r="A99" s="31" t="s">
        <v>494</v>
      </c>
      <c r="B99" s="31" t="s">
        <v>329</v>
      </c>
      <c r="C99" s="31" t="s">
        <v>32</v>
      </c>
      <c r="D99" s="31" t="s">
        <v>329</v>
      </c>
      <c r="E99" s="31" t="s">
        <v>495</v>
      </c>
      <c r="F99" s="31" t="s">
        <v>495</v>
      </c>
      <c r="G99" s="31" t="s">
        <v>782</v>
      </c>
      <c r="H99" s="31" t="str">
        <f>VLOOKUP(Reason_to_switch[[#This Row],[Name]],SINGLE_RESPONSES[],8,FALSE)</f>
        <v>4</v>
      </c>
      <c r="I99" s="31" t="str">
        <f>IF(Reason_to_switch[[#This Row],[Switch_Status]]="Not Switched",Reason_to_switch[[#This Row],[Switch_Status]],"TRUE")</f>
        <v>TRUE</v>
      </c>
      <c r="J99" s="31" t="s">
        <v>813</v>
      </c>
      <c r="K99" s="31" t="s">
        <v>783</v>
      </c>
    </row>
    <row r="100" spans="1:11" x14ac:dyDescent="0.3">
      <c r="A100" s="31" t="s">
        <v>498</v>
      </c>
      <c r="B100" s="31" t="s">
        <v>329</v>
      </c>
      <c r="C100" s="31" t="s">
        <v>32</v>
      </c>
      <c r="D100" s="31" t="s">
        <v>329</v>
      </c>
      <c r="E100" s="31" t="s">
        <v>499</v>
      </c>
      <c r="F100" s="31" t="s">
        <v>499</v>
      </c>
      <c r="G100" s="31" t="s">
        <v>794</v>
      </c>
      <c r="H100" s="31" t="str">
        <f>VLOOKUP(Reason_to_switch[[#This Row],[Name]],SINGLE_RESPONSES[],8,FALSE)</f>
        <v>1</v>
      </c>
      <c r="I100" s="31" t="str">
        <f>IF(Reason_to_switch[[#This Row],[Switch_Status]]="Not Switched",Reason_to_switch[[#This Row],[Switch_Status]],"TRUE")</f>
        <v>TRUE</v>
      </c>
      <c r="J100" s="31" t="s">
        <v>813</v>
      </c>
      <c r="K100" s="31" t="s">
        <v>782</v>
      </c>
    </row>
    <row r="101" spans="1:11" x14ac:dyDescent="0.3">
      <c r="A101" s="31" t="s">
        <v>502</v>
      </c>
      <c r="B101" s="31" t="s">
        <v>369</v>
      </c>
      <c r="C101" s="31" t="s">
        <v>369</v>
      </c>
      <c r="D101" s="31" t="s">
        <v>369</v>
      </c>
      <c r="E101" s="31" t="s">
        <v>503</v>
      </c>
      <c r="F101" s="31" t="s">
        <v>812</v>
      </c>
      <c r="G101" s="31" t="str">
        <f>IF(Reason_to_switch[[#This Row],[Switch_Status]]="Not Switched",Reason_to_switch[[#This Row],[Switch_Status]])</f>
        <v>Not Switched</v>
      </c>
      <c r="H101" s="31" t="str">
        <f>VLOOKUP(Reason_to_switch[[#This Row],[Name]],SINGLE_RESPONSES[],8,FALSE)</f>
        <v>6</v>
      </c>
      <c r="I101" s="31" t="str">
        <f>IF(Reason_to_switch[[#This Row],[Switch_Status]]="Not Switched",Reason_to_switch[[#This Row],[Switch_Status]],"TRUE")</f>
        <v>Not Switched</v>
      </c>
      <c r="J101" s="31" t="s">
        <v>763</v>
      </c>
      <c r="K101" s="31" t="s">
        <v>787</v>
      </c>
    </row>
    <row r="102" spans="1:11" x14ac:dyDescent="0.3">
      <c r="A102" s="31" t="s">
        <v>506</v>
      </c>
      <c r="B102" s="31" t="s">
        <v>329</v>
      </c>
      <c r="C102" s="31" t="s">
        <v>329</v>
      </c>
      <c r="D102" s="31" t="s">
        <v>369</v>
      </c>
      <c r="E102" s="31" t="s">
        <v>507</v>
      </c>
      <c r="F102" s="31" t="s">
        <v>812</v>
      </c>
      <c r="G102" s="31" t="str">
        <f>IF(Reason_to_switch[[#This Row],[Switch_Status]]="Not Switched",Reason_to_switch[[#This Row],[Switch_Status]])</f>
        <v>Not Switched</v>
      </c>
      <c r="H102" s="31" t="str">
        <f>VLOOKUP(Reason_to_switch[[#This Row],[Name]],SINGLE_RESPONSES[],8,FALSE)</f>
        <v>7</v>
      </c>
      <c r="I102" s="31" t="str">
        <f>IF(Reason_to_switch[[#This Row],[Switch_Status]]="Not Switched",Reason_to_switch[[#This Row],[Switch_Status]],"TRUE")</f>
        <v>Not Switched</v>
      </c>
      <c r="J102" s="31" t="s">
        <v>763</v>
      </c>
      <c r="K102" s="31" t="s">
        <v>784</v>
      </c>
    </row>
    <row r="103" spans="1:11" x14ac:dyDescent="0.3">
      <c r="A103" s="31" t="s">
        <v>510</v>
      </c>
      <c r="B103" s="31" t="s">
        <v>329</v>
      </c>
      <c r="C103" s="31" t="s">
        <v>32</v>
      </c>
      <c r="D103" s="31" t="s">
        <v>329</v>
      </c>
      <c r="E103" s="31" t="s">
        <v>511</v>
      </c>
      <c r="F103" s="31" t="s">
        <v>511</v>
      </c>
      <c r="G103" s="31" t="s">
        <v>788</v>
      </c>
      <c r="H103" s="31" t="str">
        <f>VLOOKUP(Reason_to_switch[[#This Row],[Name]],SINGLE_RESPONSES[],8,FALSE)</f>
        <v>7</v>
      </c>
      <c r="I103" s="31" t="str">
        <f>IF(Reason_to_switch[[#This Row],[Switch_Status]]="Not Switched",Reason_to_switch[[#This Row],[Switch_Status]],"TRUE")</f>
        <v>TRUE</v>
      </c>
      <c r="J103" s="31" t="s">
        <v>811</v>
      </c>
      <c r="K103" s="31" t="s">
        <v>782</v>
      </c>
    </row>
    <row r="104" spans="1:11" x14ac:dyDescent="0.3">
      <c r="A104" s="31" t="s">
        <v>514</v>
      </c>
      <c r="B104" s="31" t="s">
        <v>329</v>
      </c>
      <c r="C104" s="31" t="s">
        <v>32</v>
      </c>
      <c r="D104" s="31" t="s">
        <v>369</v>
      </c>
      <c r="E104" s="31" t="s">
        <v>515</v>
      </c>
      <c r="F104" s="31" t="s">
        <v>515</v>
      </c>
      <c r="G104" s="31" t="s">
        <v>794</v>
      </c>
      <c r="H104" s="31" t="str">
        <f>VLOOKUP(Reason_to_switch[[#This Row],[Name]],SINGLE_RESPONSES[],8,FALSE)</f>
        <v>7</v>
      </c>
      <c r="I104" s="31" t="str">
        <f>IF(Reason_to_switch[[#This Row],[Switch_Status]]="Not Switched",Reason_to_switch[[#This Row],[Switch_Status]],"TRUE")</f>
        <v>TRUE</v>
      </c>
      <c r="J104" s="31" t="s">
        <v>813</v>
      </c>
      <c r="K104" s="31" t="s">
        <v>800</v>
      </c>
    </row>
    <row r="105" spans="1:11" x14ac:dyDescent="0.3">
      <c r="A105" s="31" t="s">
        <v>517</v>
      </c>
      <c r="B105" s="31" t="s">
        <v>329</v>
      </c>
      <c r="C105" s="31" t="s">
        <v>329</v>
      </c>
      <c r="D105" s="31" t="s">
        <v>32</v>
      </c>
      <c r="E105" s="31" t="s">
        <v>518</v>
      </c>
      <c r="F105" s="31" t="s">
        <v>812</v>
      </c>
      <c r="G105" s="31" t="str">
        <f>IF(Reason_to_switch[[#This Row],[Switch_Status]]="Not Switched",Reason_to_switch[[#This Row],[Switch_Status]])</f>
        <v>Not Switched</v>
      </c>
      <c r="H105" s="31" t="str">
        <f>VLOOKUP(Reason_to_switch[[#This Row],[Name]],SINGLE_RESPONSES[],8,FALSE)</f>
        <v>7</v>
      </c>
      <c r="I105" s="31" t="str">
        <f>IF(Reason_to_switch[[#This Row],[Switch_Status]]="Not Switched",Reason_to_switch[[#This Row],[Switch_Status]],"TRUE")</f>
        <v>Not Switched</v>
      </c>
      <c r="J105" s="31" t="s">
        <v>763</v>
      </c>
      <c r="K105" s="31" t="s">
        <v>794</v>
      </c>
    </row>
    <row r="106" spans="1:11" x14ac:dyDescent="0.3">
      <c r="A106" s="31" t="s">
        <v>521</v>
      </c>
      <c r="B106" s="31" t="s">
        <v>32</v>
      </c>
      <c r="C106" s="31" t="s">
        <v>329</v>
      </c>
      <c r="D106" s="31" t="s">
        <v>32</v>
      </c>
      <c r="E106" s="31" t="s">
        <v>522</v>
      </c>
      <c r="F106" s="31" t="s">
        <v>522</v>
      </c>
      <c r="G106" s="31" t="s">
        <v>786</v>
      </c>
      <c r="H106" s="31" t="str">
        <f>VLOOKUP(Reason_to_switch[[#This Row],[Name]],SINGLE_RESPONSES[],8,FALSE)</f>
        <v>7</v>
      </c>
      <c r="I106" s="31" t="str">
        <f>IF(Reason_to_switch[[#This Row],[Switch_Status]]="Not Switched",Reason_to_switch[[#This Row],[Switch_Status]],"TRUE")</f>
        <v>TRUE</v>
      </c>
      <c r="J106" s="31" t="s">
        <v>813</v>
      </c>
      <c r="K106" s="31" t="s">
        <v>787</v>
      </c>
    </row>
    <row r="107" spans="1:11" x14ac:dyDescent="0.3">
      <c r="A107" s="31" t="s">
        <v>526</v>
      </c>
      <c r="B107" s="31" t="s">
        <v>329</v>
      </c>
      <c r="C107" s="31" t="s">
        <v>329</v>
      </c>
      <c r="D107" s="31" t="s">
        <v>32</v>
      </c>
      <c r="E107" s="31" t="s">
        <v>527</v>
      </c>
      <c r="F107" s="31" t="s">
        <v>812</v>
      </c>
      <c r="G107" s="31" t="str">
        <f>IF(Reason_to_switch[[#This Row],[Switch_Status]]="Not Switched",Reason_to_switch[[#This Row],[Switch_Status]])</f>
        <v>Not Switched</v>
      </c>
      <c r="H107" s="31" t="str">
        <f>VLOOKUP(Reason_to_switch[[#This Row],[Name]],SINGLE_RESPONSES[],8,FALSE)</f>
        <v>7</v>
      </c>
      <c r="I107" s="31" t="str">
        <f>IF(Reason_to_switch[[#This Row],[Switch_Status]]="Not Switched",Reason_to_switch[[#This Row],[Switch_Status]],"TRUE")</f>
        <v>Not Switched</v>
      </c>
      <c r="J107" s="31" t="s">
        <v>763</v>
      </c>
      <c r="K107" s="31" t="s">
        <v>782</v>
      </c>
    </row>
    <row r="108" spans="1:11" x14ac:dyDescent="0.3">
      <c r="A108" s="31" t="s">
        <v>528</v>
      </c>
      <c r="B108" s="31" t="s">
        <v>329</v>
      </c>
      <c r="C108" s="31" t="s">
        <v>32</v>
      </c>
      <c r="D108" s="31" t="s">
        <v>329</v>
      </c>
      <c r="E108" s="31" t="s">
        <v>530</v>
      </c>
      <c r="F108" s="31" t="s">
        <v>530</v>
      </c>
      <c r="G108" s="31" t="s">
        <v>791</v>
      </c>
      <c r="H108" s="31" t="str">
        <f>VLOOKUP(Reason_to_switch[[#This Row],[Name]],SINGLE_RESPONSES[],8,FALSE)</f>
        <v>4</v>
      </c>
      <c r="I108" s="31" t="str">
        <f>IF(Reason_to_switch[[#This Row],[Switch_Status]]="Not Switched",Reason_to_switch[[#This Row],[Switch_Status]],"TRUE")</f>
        <v>TRUE</v>
      </c>
      <c r="J108" s="31" t="s">
        <v>811</v>
      </c>
      <c r="K108" s="31" t="s">
        <v>783</v>
      </c>
    </row>
    <row r="109" spans="1:11" x14ac:dyDescent="0.3">
      <c r="A109" s="31" t="s">
        <v>533</v>
      </c>
      <c r="B109" s="31" t="s">
        <v>32</v>
      </c>
      <c r="C109" s="31" t="s">
        <v>32</v>
      </c>
      <c r="D109" s="31" t="s">
        <v>32</v>
      </c>
      <c r="E109" s="31" t="s">
        <v>534</v>
      </c>
      <c r="F109" s="31" t="s">
        <v>812</v>
      </c>
      <c r="G109" s="31" t="str">
        <f>IF(Reason_to_switch[[#This Row],[Switch_Status]]="Not Switched",Reason_to_switch[[#This Row],[Switch_Status]])</f>
        <v>Not Switched</v>
      </c>
      <c r="H109" s="31" t="str">
        <f>VLOOKUP(Reason_to_switch[[#This Row],[Name]],SINGLE_RESPONSES[],8,FALSE)</f>
        <v>1</v>
      </c>
      <c r="I109" s="31" t="str">
        <f>IF(Reason_to_switch[[#This Row],[Switch_Status]]="Not Switched",Reason_to_switch[[#This Row],[Switch_Status]],"TRUE")</f>
        <v>Not Switched</v>
      </c>
      <c r="J109" s="31" t="s">
        <v>763</v>
      </c>
      <c r="K109" s="31" t="s">
        <v>782</v>
      </c>
    </row>
    <row r="110" spans="1:11" x14ac:dyDescent="0.3">
      <c r="A110" s="31" t="s">
        <v>537</v>
      </c>
      <c r="B110" s="31" t="s">
        <v>329</v>
      </c>
      <c r="C110" s="31" t="s">
        <v>32</v>
      </c>
      <c r="D110" s="31" t="s">
        <v>32</v>
      </c>
      <c r="E110" s="31" t="s">
        <v>538</v>
      </c>
      <c r="F110" s="31" t="s">
        <v>538</v>
      </c>
      <c r="G110" s="31" t="s">
        <v>794</v>
      </c>
      <c r="H110" s="31" t="str">
        <f>VLOOKUP(Reason_to_switch[[#This Row],[Name]],SINGLE_RESPONSES[],8,FALSE)</f>
        <v>7</v>
      </c>
      <c r="I110" s="31" t="str">
        <f>IF(Reason_to_switch[[#This Row],[Switch_Status]]="Not Switched",Reason_to_switch[[#This Row],[Switch_Status]],"TRUE")</f>
        <v>TRUE</v>
      </c>
      <c r="J110" s="31" t="s">
        <v>813</v>
      </c>
      <c r="K110" s="31" t="s">
        <v>783</v>
      </c>
    </row>
    <row r="111" spans="1:11" x14ac:dyDescent="0.3">
      <c r="A111" s="31" t="s">
        <v>541</v>
      </c>
      <c r="B111" s="31" t="s">
        <v>329</v>
      </c>
      <c r="C111" s="31" t="s">
        <v>329</v>
      </c>
      <c r="D111" s="31" t="s">
        <v>329</v>
      </c>
      <c r="E111" s="31" t="s">
        <v>55</v>
      </c>
      <c r="F111" s="31" t="s">
        <v>812</v>
      </c>
      <c r="G111" s="31" t="str">
        <f>IF(Reason_to_switch[[#This Row],[Switch_Status]]="Not Switched",Reason_to_switch[[#This Row],[Switch_Status]])</f>
        <v>Not Switched</v>
      </c>
      <c r="H111" s="31" t="str">
        <f>VLOOKUP(Reason_to_switch[[#This Row],[Name]],SINGLE_RESPONSES[],8,FALSE)</f>
        <v>7</v>
      </c>
      <c r="I111" s="31" t="str">
        <f>IF(Reason_to_switch[[#This Row],[Switch_Status]]="Not Switched",Reason_to_switch[[#This Row],[Switch_Status]],"TRUE")</f>
        <v>Not Switched</v>
      </c>
      <c r="J111" s="31" t="s">
        <v>763</v>
      </c>
      <c r="K111" s="31" t="s">
        <v>801</v>
      </c>
    </row>
    <row r="112" spans="1:11" x14ac:dyDescent="0.3">
      <c r="A112" s="31" t="s">
        <v>544</v>
      </c>
      <c r="B112" s="31" t="s">
        <v>329</v>
      </c>
      <c r="C112" s="31" t="s">
        <v>329</v>
      </c>
      <c r="D112" s="31" t="s">
        <v>717</v>
      </c>
      <c r="E112" s="31" t="s">
        <v>545</v>
      </c>
      <c r="F112" s="31" t="s">
        <v>812</v>
      </c>
      <c r="G112" s="31" t="str">
        <f>IF(Reason_to_switch[[#This Row],[Switch_Status]]="Not Switched",Reason_to_switch[[#This Row],[Switch_Status]])</f>
        <v>Not Switched</v>
      </c>
      <c r="H112" s="31" t="str">
        <f>VLOOKUP(Reason_to_switch[[#This Row],[Name]],SINGLE_RESPONSES[],8,FALSE)</f>
        <v>6</v>
      </c>
      <c r="I112" s="31" t="str">
        <f>IF(Reason_to_switch[[#This Row],[Switch_Status]]="Not Switched",Reason_to_switch[[#This Row],[Switch_Status]],"TRUE")</f>
        <v>Not Switched</v>
      </c>
      <c r="J112" s="31" t="s">
        <v>763</v>
      </c>
      <c r="K112" s="31" t="s">
        <v>783</v>
      </c>
    </row>
    <row r="113" spans="1:11" x14ac:dyDescent="0.3">
      <c r="A113" s="31" t="s">
        <v>548</v>
      </c>
      <c r="B113" s="31" t="s">
        <v>329</v>
      </c>
      <c r="C113" s="31" t="s">
        <v>329</v>
      </c>
      <c r="D113" s="31" t="s">
        <v>329</v>
      </c>
      <c r="E113" s="31" t="s">
        <v>551</v>
      </c>
      <c r="F113" s="31" t="s">
        <v>812</v>
      </c>
      <c r="G113" s="31" t="str">
        <f>IF(Reason_to_switch[[#This Row],[Switch_Status]]="Not Switched",Reason_to_switch[[#This Row],[Switch_Status]])</f>
        <v>Not Switched</v>
      </c>
      <c r="H113" s="31" t="str">
        <f>VLOOKUP(Reason_to_switch[[#This Row],[Name]],SINGLE_RESPONSES[],8,FALSE)</f>
        <v>2</v>
      </c>
      <c r="I113" s="31" t="str">
        <f>IF(Reason_to_switch[[#This Row],[Switch_Status]]="Not Switched",Reason_to_switch[[#This Row],[Switch_Status]],"TRUE")</f>
        <v>Not Switched</v>
      </c>
      <c r="J113" s="31" t="s">
        <v>763</v>
      </c>
      <c r="K113" s="31" t="s">
        <v>800</v>
      </c>
    </row>
    <row r="114" spans="1:11" x14ac:dyDescent="0.3">
      <c r="A114" s="31" t="s">
        <v>555</v>
      </c>
      <c r="B114" s="31" t="s">
        <v>329</v>
      </c>
      <c r="C114" s="31" t="s">
        <v>369</v>
      </c>
      <c r="D114" s="31" t="s">
        <v>329</v>
      </c>
      <c r="E114" s="31" t="s">
        <v>556</v>
      </c>
      <c r="F114" s="31" t="s">
        <v>556</v>
      </c>
      <c r="G114" s="31" t="s">
        <v>782</v>
      </c>
      <c r="H114" s="31" t="str">
        <f>VLOOKUP(Reason_to_switch[[#This Row],[Name]],SINGLE_RESPONSES[],8,FALSE)</f>
        <v>7</v>
      </c>
      <c r="I114" s="31" t="str">
        <f>IF(Reason_to_switch[[#This Row],[Switch_Status]]="Not Switched",Reason_to_switch[[#This Row],[Switch_Status]],"TRUE")</f>
        <v>TRUE</v>
      </c>
      <c r="J114" s="31" t="s">
        <v>813</v>
      </c>
      <c r="K114" s="31" t="s">
        <v>782</v>
      </c>
    </row>
    <row r="115" spans="1:11" x14ac:dyDescent="0.3">
      <c r="A115" s="31" t="s">
        <v>558</v>
      </c>
      <c r="B115" s="31" t="s">
        <v>369</v>
      </c>
      <c r="C115" s="31" t="s">
        <v>329</v>
      </c>
      <c r="D115" s="31" t="s">
        <v>369</v>
      </c>
      <c r="E115" s="31" t="s">
        <v>559</v>
      </c>
      <c r="F115" s="31" t="s">
        <v>559</v>
      </c>
      <c r="G115" s="31" t="s">
        <v>792</v>
      </c>
      <c r="H115" s="31" t="str">
        <f>VLOOKUP(Reason_to_switch[[#This Row],[Name]],SINGLE_RESPONSES[],8,FALSE)</f>
        <v>5</v>
      </c>
      <c r="I115" s="31" t="str">
        <f>IF(Reason_to_switch[[#This Row],[Switch_Status]]="Not Switched",Reason_to_switch[[#This Row],[Switch_Status]],"TRUE")</f>
        <v>TRUE</v>
      </c>
      <c r="J115" s="31" t="s">
        <v>811</v>
      </c>
      <c r="K115" s="31" t="s">
        <v>783</v>
      </c>
    </row>
    <row r="116" spans="1:11" x14ac:dyDescent="0.3">
      <c r="A116" s="31" t="s">
        <v>562</v>
      </c>
      <c r="B116" s="31" t="s">
        <v>717</v>
      </c>
      <c r="C116" s="31" t="s">
        <v>329</v>
      </c>
      <c r="D116" s="31" t="s">
        <v>717</v>
      </c>
      <c r="E116" s="31" t="s">
        <v>564</v>
      </c>
      <c r="F116" s="31" t="s">
        <v>564</v>
      </c>
      <c r="G116" s="31" t="s">
        <v>783</v>
      </c>
      <c r="H116" s="31" t="str">
        <f>VLOOKUP(Reason_to_switch[[#This Row],[Name]],SINGLE_RESPONSES[],8,FALSE)</f>
        <v>7</v>
      </c>
      <c r="I116" s="31" t="str">
        <f>IF(Reason_to_switch[[#This Row],[Switch_Status]]="Not Switched",Reason_to_switch[[#This Row],[Switch_Status]],"TRUE")</f>
        <v>TRUE</v>
      </c>
      <c r="J116" s="31" t="s">
        <v>813</v>
      </c>
      <c r="K116" s="31" t="s">
        <v>783</v>
      </c>
    </row>
    <row r="117" spans="1:11" x14ac:dyDescent="0.3">
      <c r="A117" s="31" t="s">
        <v>567</v>
      </c>
      <c r="B117" s="31" t="s">
        <v>329</v>
      </c>
      <c r="C117" s="31" t="s">
        <v>32</v>
      </c>
      <c r="D117" s="31" t="s">
        <v>329</v>
      </c>
      <c r="E117" s="31" t="s">
        <v>568</v>
      </c>
      <c r="F117" s="31" t="s">
        <v>568</v>
      </c>
      <c r="G117" s="31" t="s">
        <v>786</v>
      </c>
      <c r="H117" s="31" t="str">
        <f>VLOOKUP(Reason_to_switch[[#This Row],[Name]],SINGLE_RESPONSES[],8,FALSE)</f>
        <v>5</v>
      </c>
      <c r="I117" s="31" t="str">
        <f>IF(Reason_to_switch[[#This Row],[Switch_Status]]="Not Switched",Reason_to_switch[[#This Row],[Switch_Status]],"TRUE")</f>
        <v>TRUE</v>
      </c>
      <c r="J117" s="31" t="s">
        <v>813</v>
      </c>
      <c r="K117" s="31" t="s">
        <v>784</v>
      </c>
    </row>
    <row r="118" spans="1:11" x14ac:dyDescent="0.3">
      <c r="A118" s="31" t="s">
        <v>571</v>
      </c>
      <c r="B118" s="31" t="s">
        <v>329</v>
      </c>
      <c r="C118" s="31" t="s">
        <v>329</v>
      </c>
      <c r="D118" s="31" t="s">
        <v>329</v>
      </c>
      <c r="E118" s="31" t="s">
        <v>572</v>
      </c>
      <c r="F118" s="31" t="s">
        <v>812</v>
      </c>
      <c r="G118" s="31" t="str">
        <f>IF(Reason_to_switch[[#This Row],[Switch_Status]]="Not Switched",Reason_to_switch[[#This Row],[Switch_Status]])</f>
        <v>Not Switched</v>
      </c>
      <c r="H118" s="31" t="str">
        <f>VLOOKUP(Reason_to_switch[[#This Row],[Name]],SINGLE_RESPONSES[],8,FALSE)</f>
        <v>7</v>
      </c>
      <c r="I118" s="31" t="str">
        <f>IF(Reason_to_switch[[#This Row],[Switch_Status]]="Not Switched",Reason_to_switch[[#This Row],[Switch_Status]],"TRUE")</f>
        <v>Not Switched</v>
      </c>
      <c r="J118" s="31" t="s">
        <v>763</v>
      </c>
      <c r="K118" s="31" t="s">
        <v>784</v>
      </c>
    </row>
    <row r="119" spans="1:11" x14ac:dyDescent="0.3">
      <c r="A119" s="31" t="s">
        <v>576</v>
      </c>
      <c r="B119" s="31" t="s">
        <v>329</v>
      </c>
      <c r="C119" s="31" t="s">
        <v>32</v>
      </c>
      <c r="D119" s="31" t="s">
        <v>329</v>
      </c>
      <c r="E119" s="31" t="s">
        <v>577</v>
      </c>
      <c r="F119" s="31" t="s">
        <v>577</v>
      </c>
      <c r="G119" s="31" t="s">
        <v>786</v>
      </c>
      <c r="H119" s="31" t="str">
        <f>VLOOKUP(Reason_to_switch[[#This Row],[Name]],SINGLE_RESPONSES[],8,FALSE)</f>
        <v>7</v>
      </c>
      <c r="I119" s="31" t="str">
        <f>IF(Reason_to_switch[[#This Row],[Switch_Status]]="Not Switched",Reason_to_switch[[#This Row],[Switch_Status]],"TRUE")</f>
        <v>TRUE</v>
      </c>
      <c r="J119" s="31" t="s">
        <v>813</v>
      </c>
      <c r="K119" s="31" t="s">
        <v>786</v>
      </c>
    </row>
    <row r="120" spans="1:11" x14ac:dyDescent="0.3">
      <c r="A120" s="31" t="s">
        <v>580</v>
      </c>
      <c r="B120" s="31" t="s">
        <v>32</v>
      </c>
      <c r="C120" s="31" t="s">
        <v>32</v>
      </c>
      <c r="D120" s="31" t="s">
        <v>32</v>
      </c>
      <c r="E120" s="31" t="s">
        <v>581</v>
      </c>
      <c r="F120" s="31" t="s">
        <v>812</v>
      </c>
      <c r="G120" s="31" t="str">
        <f>IF(Reason_to_switch[[#This Row],[Switch_Status]]="Not Switched",Reason_to_switch[[#This Row],[Switch_Status]])</f>
        <v>Not Switched</v>
      </c>
      <c r="H120" s="31" t="str">
        <f>VLOOKUP(Reason_to_switch[[#This Row],[Name]],SINGLE_RESPONSES[],8,FALSE)</f>
        <v>1</v>
      </c>
      <c r="I120" s="31" t="str">
        <f>IF(Reason_to_switch[[#This Row],[Switch_Status]]="Not Switched",Reason_to_switch[[#This Row],[Switch_Status]],"TRUE")</f>
        <v>Not Switched</v>
      </c>
      <c r="J120" s="31" t="s">
        <v>763</v>
      </c>
      <c r="K120" s="31" t="s">
        <v>801</v>
      </c>
    </row>
    <row r="121" spans="1:11" x14ac:dyDescent="0.3">
      <c r="A121" s="31" t="s">
        <v>584</v>
      </c>
      <c r="B121" s="31" t="s">
        <v>329</v>
      </c>
      <c r="C121" s="31" t="s">
        <v>32</v>
      </c>
      <c r="D121" s="31" t="s">
        <v>32</v>
      </c>
      <c r="E121" s="31" t="s">
        <v>585</v>
      </c>
      <c r="F121" s="31" t="s">
        <v>794</v>
      </c>
      <c r="G121" s="31" t="s">
        <v>794</v>
      </c>
      <c r="H121" s="31" t="str">
        <f>VLOOKUP(Reason_to_switch[[#This Row],[Name]],SINGLE_RESPONSES[],8,FALSE)</f>
        <v>5</v>
      </c>
      <c r="I121" s="31" t="str">
        <f>IF(Reason_to_switch[[#This Row],[Switch_Status]]="Not Switched",Reason_to_switch[[#This Row],[Switch_Status]],"TRUE")</f>
        <v>TRUE</v>
      </c>
      <c r="J121" s="31" t="s">
        <v>813</v>
      </c>
      <c r="K121" s="31" t="s">
        <v>783</v>
      </c>
    </row>
    <row r="122" spans="1:11" x14ac:dyDescent="0.3">
      <c r="A122" s="31" t="s">
        <v>588</v>
      </c>
      <c r="B122" s="31" t="s">
        <v>32</v>
      </c>
      <c r="C122" s="31" t="s">
        <v>32</v>
      </c>
      <c r="D122" s="31" t="s">
        <v>369</v>
      </c>
      <c r="E122" s="31" t="s">
        <v>589</v>
      </c>
      <c r="F122" s="31" t="s">
        <v>812</v>
      </c>
      <c r="G122" s="31" t="str">
        <f>IF(Reason_to_switch[[#This Row],[Switch_Status]]="Not Switched",Reason_to_switch[[#This Row],[Switch_Status]])</f>
        <v>Not Switched</v>
      </c>
      <c r="H122" s="31" t="str">
        <f>VLOOKUP(Reason_to_switch[[#This Row],[Name]],SINGLE_RESPONSES[],8,FALSE)</f>
        <v>7</v>
      </c>
      <c r="I122" s="31" t="str">
        <f>IF(Reason_to_switch[[#This Row],[Switch_Status]]="Not Switched",Reason_to_switch[[#This Row],[Switch_Status]],"TRUE")</f>
        <v>Not Switched</v>
      </c>
      <c r="J122" s="31" t="s">
        <v>763</v>
      </c>
      <c r="K122" s="31" t="s">
        <v>782</v>
      </c>
    </row>
    <row r="123" spans="1:11" x14ac:dyDescent="0.3">
      <c r="A123" s="31" t="s">
        <v>592</v>
      </c>
      <c r="B123" s="31" t="s">
        <v>32</v>
      </c>
      <c r="C123" s="31" t="s">
        <v>329</v>
      </c>
      <c r="D123" s="31" t="s">
        <v>32</v>
      </c>
      <c r="E123" s="31" t="s">
        <v>593</v>
      </c>
      <c r="F123" s="31" t="s">
        <v>593</v>
      </c>
      <c r="G123" s="31" t="s">
        <v>782</v>
      </c>
      <c r="H123" s="31" t="str">
        <f>VLOOKUP(Reason_to_switch[[#This Row],[Name]],SINGLE_RESPONSES[],8,FALSE)</f>
        <v>7</v>
      </c>
      <c r="I123" s="31" t="str">
        <f>IF(Reason_to_switch[[#This Row],[Switch_Status]]="Not Switched",Reason_to_switch[[#This Row],[Switch_Status]],"TRUE")</f>
        <v>TRUE</v>
      </c>
      <c r="J123" s="31" t="s">
        <v>813</v>
      </c>
      <c r="K123" s="31" t="s">
        <v>783</v>
      </c>
    </row>
    <row r="124" spans="1:11" x14ac:dyDescent="0.3">
      <c r="A124" s="31" t="s">
        <v>596</v>
      </c>
      <c r="B124" s="31" t="s">
        <v>329</v>
      </c>
      <c r="C124" s="31" t="s">
        <v>329</v>
      </c>
      <c r="D124" s="31" t="s">
        <v>329</v>
      </c>
      <c r="E124" s="31" t="s">
        <v>597</v>
      </c>
      <c r="F124" s="31" t="s">
        <v>812</v>
      </c>
      <c r="G124" s="31" t="str">
        <f>IF(Reason_to_switch[[#This Row],[Switch_Status]]="Not Switched",Reason_to_switch[[#This Row],[Switch_Status]])</f>
        <v>Not Switched</v>
      </c>
      <c r="H124" s="31" t="str">
        <f>VLOOKUP(Reason_to_switch[[#This Row],[Name]],SINGLE_RESPONSES[],8,FALSE)</f>
        <v>1</v>
      </c>
      <c r="I124" s="31" t="str">
        <f>IF(Reason_to_switch[[#This Row],[Switch_Status]]="Not Switched",Reason_to_switch[[#This Row],[Switch_Status]],"TRUE")</f>
        <v>Not Switched</v>
      </c>
      <c r="J124" s="31" t="s">
        <v>763</v>
      </c>
      <c r="K124" s="31" t="s">
        <v>794</v>
      </c>
    </row>
    <row r="125" spans="1:11" x14ac:dyDescent="0.3">
      <c r="A125" s="31" t="s">
        <v>600</v>
      </c>
      <c r="B125" s="31" t="s">
        <v>329</v>
      </c>
      <c r="C125" s="31" t="s">
        <v>32</v>
      </c>
      <c r="D125" s="31" t="s">
        <v>329</v>
      </c>
      <c r="E125" s="31" t="s">
        <v>601</v>
      </c>
      <c r="F125" s="31" t="s">
        <v>601</v>
      </c>
      <c r="G125" s="31" t="s">
        <v>782</v>
      </c>
      <c r="H125" s="31" t="str">
        <f>VLOOKUP(Reason_to_switch[[#This Row],[Name]],SINGLE_RESPONSES[],8,FALSE)</f>
        <v>7</v>
      </c>
      <c r="I125" s="31" t="str">
        <f>IF(Reason_to_switch[[#This Row],[Switch_Status]]="Not Switched",Reason_to_switch[[#This Row],[Switch_Status]],"TRUE")</f>
        <v>TRUE</v>
      </c>
      <c r="J125" s="31" t="s">
        <v>813</v>
      </c>
      <c r="K125" s="31" t="s">
        <v>782</v>
      </c>
    </row>
    <row r="126" spans="1:11" x14ac:dyDescent="0.3">
      <c r="A126" s="31" t="s">
        <v>604</v>
      </c>
      <c r="B126" s="31" t="s">
        <v>329</v>
      </c>
      <c r="C126" s="31" t="s">
        <v>329</v>
      </c>
      <c r="D126" s="31" t="s">
        <v>329</v>
      </c>
      <c r="E126" s="31" t="s">
        <v>605</v>
      </c>
      <c r="F126" s="31" t="s">
        <v>812</v>
      </c>
      <c r="G126" s="31" t="str">
        <f>IF(Reason_to_switch[[#This Row],[Switch_Status]]="Not Switched",Reason_to_switch[[#This Row],[Switch_Status]])</f>
        <v>Not Switched</v>
      </c>
      <c r="H126" s="31" t="str">
        <f>VLOOKUP(Reason_to_switch[[#This Row],[Name]],SINGLE_RESPONSES[],8,FALSE)</f>
        <v>3</v>
      </c>
      <c r="I126" s="31" t="str">
        <f>IF(Reason_to_switch[[#This Row],[Switch_Status]]="Not Switched",Reason_to_switch[[#This Row],[Switch_Status]],"TRUE")</f>
        <v>Not Switched</v>
      </c>
      <c r="J126" s="31" t="s">
        <v>763</v>
      </c>
      <c r="K126" s="31" t="s">
        <v>782</v>
      </c>
    </row>
    <row r="127" spans="1:11" x14ac:dyDescent="0.3">
      <c r="A127" s="31" t="s">
        <v>608</v>
      </c>
      <c r="B127" s="31" t="s">
        <v>32</v>
      </c>
      <c r="C127" s="31" t="s">
        <v>32</v>
      </c>
      <c r="D127" s="31" t="s">
        <v>32</v>
      </c>
      <c r="E127" s="31" t="s">
        <v>609</v>
      </c>
      <c r="F127" s="31" t="s">
        <v>812</v>
      </c>
      <c r="G127" s="31" t="str">
        <f>IF(Reason_to_switch[[#This Row],[Switch_Status]]="Not Switched",Reason_to_switch[[#This Row],[Switch_Status]])</f>
        <v>Not Switched</v>
      </c>
      <c r="H127" s="31" t="str">
        <f>VLOOKUP(Reason_to_switch[[#This Row],[Name]],SINGLE_RESPONSES[],8,FALSE)</f>
        <v>7</v>
      </c>
      <c r="I127" s="31" t="str">
        <f>IF(Reason_to_switch[[#This Row],[Switch_Status]]="Not Switched",Reason_to_switch[[#This Row],[Switch_Status]],"TRUE")</f>
        <v>Not Switched</v>
      </c>
      <c r="J127" s="31" t="s">
        <v>763</v>
      </c>
      <c r="K127" s="31" t="s">
        <v>786</v>
      </c>
    </row>
    <row r="128" spans="1:11" x14ac:dyDescent="0.3">
      <c r="A128" s="31" t="s">
        <v>612</v>
      </c>
      <c r="B128" s="31" t="s">
        <v>717</v>
      </c>
      <c r="C128" s="31" t="s">
        <v>329</v>
      </c>
      <c r="D128" s="31" t="s">
        <v>369</v>
      </c>
      <c r="E128" s="31" t="s">
        <v>613</v>
      </c>
      <c r="F128" s="31" t="s">
        <v>613</v>
      </c>
      <c r="G128" s="31" t="s">
        <v>783</v>
      </c>
      <c r="H128" s="31" t="str">
        <f>VLOOKUP(Reason_to_switch[[#This Row],[Name]],SINGLE_RESPONSES[],8,FALSE)</f>
        <v>7</v>
      </c>
      <c r="I128" s="31" t="str">
        <f>IF(Reason_to_switch[[#This Row],[Switch_Status]]="Not Switched",Reason_to_switch[[#This Row],[Switch_Status]],"TRUE")</f>
        <v>TRUE</v>
      </c>
      <c r="J128" s="31" t="s">
        <v>813</v>
      </c>
      <c r="K128" s="31" t="s">
        <v>801</v>
      </c>
    </row>
    <row r="129" spans="1:11" x14ac:dyDescent="0.3">
      <c r="A129" s="31" t="s">
        <v>616</v>
      </c>
      <c r="B129" s="31" t="s">
        <v>369</v>
      </c>
      <c r="C129" s="31" t="s">
        <v>329</v>
      </c>
      <c r="D129" s="31" t="s">
        <v>32</v>
      </c>
      <c r="E129" s="31" t="s">
        <v>617</v>
      </c>
      <c r="F129" s="31" t="s">
        <v>617</v>
      </c>
      <c r="G129" s="31" t="s">
        <v>782</v>
      </c>
      <c r="H129" s="31" t="str">
        <f>VLOOKUP(Reason_to_switch[[#This Row],[Name]],SINGLE_RESPONSES[],8,FALSE)</f>
        <v>4</v>
      </c>
      <c r="I129" s="31" t="str">
        <f>IF(Reason_to_switch[[#This Row],[Switch_Status]]="Not Switched",Reason_to_switch[[#This Row],[Switch_Status]],"TRUE")</f>
        <v>TRUE</v>
      </c>
      <c r="J129" s="31" t="s">
        <v>813</v>
      </c>
      <c r="K129" s="31" t="s">
        <v>782</v>
      </c>
    </row>
    <row r="130" spans="1:11" x14ac:dyDescent="0.3">
      <c r="A130" s="31" t="s">
        <v>619</v>
      </c>
      <c r="B130" s="31" t="s">
        <v>717</v>
      </c>
      <c r="C130" s="31" t="s">
        <v>717</v>
      </c>
      <c r="D130" s="31" t="s">
        <v>717</v>
      </c>
      <c r="E130" s="31" t="s">
        <v>620</v>
      </c>
      <c r="F130" s="31" t="s">
        <v>812</v>
      </c>
      <c r="G130" s="31" t="str">
        <f>IF(Reason_to_switch[[#This Row],[Switch_Status]]="Not Switched",Reason_to_switch[[#This Row],[Switch_Status]])</f>
        <v>Not Switched</v>
      </c>
      <c r="H130" s="31" t="str">
        <f>VLOOKUP(Reason_to_switch[[#This Row],[Name]],SINGLE_RESPONSES[],8,FALSE)</f>
        <v>7</v>
      </c>
      <c r="I130" s="31" t="str">
        <f>IF(Reason_to_switch[[#This Row],[Switch_Status]]="Not Switched",Reason_to_switch[[#This Row],[Switch_Status]],"TRUE")</f>
        <v>Not Switched</v>
      </c>
      <c r="J130" s="31" t="s">
        <v>763</v>
      </c>
      <c r="K130" s="31" t="s">
        <v>794</v>
      </c>
    </row>
    <row r="131" spans="1:11" x14ac:dyDescent="0.3">
      <c r="A131" s="31" t="s">
        <v>623</v>
      </c>
      <c r="B131" s="31" t="s">
        <v>329</v>
      </c>
      <c r="C131" s="31" t="s">
        <v>32</v>
      </c>
      <c r="D131" s="31" t="s">
        <v>32</v>
      </c>
      <c r="E131" s="31" t="s">
        <v>624</v>
      </c>
      <c r="F131" s="31" t="s">
        <v>624</v>
      </c>
      <c r="G131" s="31" t="s">
        <v>783</v>
      </c>
      <c r="H131" s="31" t="str">
        <f>VLOOKUP(Reason_to_switch[[#This Row],[Name]],SINGLE_RESPONSES[],8,FALSE)</f>
        <v>7</v>
      </c>
      <c r="I131" s="31" t="str">
        <f>IF(Reason_to_switch[[#This Row],[Switch_Status]]="Not Switched",Reason_to_switch[[#This Row],[Switch_Status]],"TRUE")</f>
        <v>TRUE</v>
      </c>
      <c r="J131" s="31" t="s">
        <v>813</v>
      </c>
      <c r="K131" s="31" t="s">
        <v>783</v>
      </c>
    </row>
    <row r="132" spans="1:11" x14ac:dyDescent="0.3">
      <c r="A132" s="31" t="s">
        <v>627</v>
      </c>
      <c r="B132" s="31" t="s">
        <v>329</v>
      </c>
      <c r="C132" s="31" t="s">
        <v>32</v>
      </c>
      <c r="D132" s="31" t="s">
        <v>329</v>
      </c>
      <c r="E132" s="31" t="s">
        <v>631</v>
      </c>
      <c r="F132" s="31" t="s">
        <v>631</v>
      </c>
      <c r="G132" s="31" t="s">
        <v>782</v>
      </c>
      <c r="H132" s="31" t="str">
        <f>VLOOKUP(Reason_to_switch[[#This Row],[Name]],SINGLE_RESPONSES[],8,FALSE)</f>
        <v>4</v>
      </c>
      <c r="I132" s="31" t="str">
        <f>IF(Reason_to_switch[[#This Row],[Switch_Status]]="Not Switched",Reason_to_switch[[#This Row],[Switch_Status]],"TRUE")</f>
        <v>TRUE</v>
      </c>
      <c r="J132" s="31" t="s">
        <v>813</v>
      </c>
      <c r="K132" s="31" t="s">
        <v>782</v>
      </c>
    </row>
    <row r="133" spans="1:11" x14ac:dyDescent="0.3">
      <c r="A133" s="31" t="s">
        <v>633</v>
      </c>
      <c r="B133" s="31" t="s">
        <v>329</v>
      </c>
      <c r="C133" s="31" t="s">
        <v>329</v>
      </c>
      <c r="D133" s="31" t="s">
        <v>717</v>
      </c>
      <c r="E133" s="31" t="s">
        <v>634</v>
      </c>
      <c r="F133" s="31" t="s">
        <v>812</v>
      </c>
      <c r="G133" s="31" t="str">
        <f>IF(Reason_to_switch[[#This Row],[Switch_Status]]="Not Switched",Reason_to_switch[[#This Row],[Switch_Status]])</f>
        <v>Not Switched</v>
      </c>
      <c r="H133" s="31" t="str">
        <f>VLOOKUP(Reason_to_switch[[#This Row],[Name]],SINGLE_RESPONSES[],8,FALSE)</f>
        <v>1</v>
      </c>
      <c r="I133" s="31" t="str">
        <f>IF(Reason_to_switch[[#This Row],[Switch_Status]]="Not Switched",Reason_to_switch[[#This Row],[Switch_Status]],"TRUE")</f>
        <v>Not Switched</v>
      </c>
      <c r="J133" s="31" t="s">
        <v>763</v>
      </c>
      <c r="K133" s="31" t="s">
        <v>784</v>
      </c>
    </row>
    <row r="134" spans="1:11" x14ac:dyDescent="0.3">
      <c r="A134" s="31" t="s">
        <v>637</v>
      </c>
      <c r="B134" s="31" t="s">
        <v>32</v>
      </c>
      <c r="C134" s="31" t="s">
        <v>32</v>
      </c>
      <c r="D134" s="31" t="s">
        <v>32</v>
      </c>
      <c r="E134" s="31" t="s">
        <v>638</v>
      </c>
      <c r="F134" s="31" t="s">
        <v>812</v>
      </c>
      <c r="G134" s="31" t="str">
        <f>IF(Reason_to_switch[[#This Row],[Switch_Status]]="Not Switched",Reason_to_switch[[#This Row],[Switch_Status]])</f>
        <v>Not Switched</v>
      </c>
      <c r="H134" s="31" t="str">
        <f>VLOOKUP(Reason_to_switch[[#This Row],[Name]],SINGLE_RESPONSES[],8,FALSE)</f>
        <v>4</v>
      </c>
      <c r="I134" s="31" t="str">
        <f>IF(Reason_to_switch[[#This Row],[Switch_Status]]="Not Switched",Reason_to_switch[[#This Row],[Switch_Status]],"TRUE")</f>
        <v>Not Switched</v>
      </c>
      <c r="J134" s="31" t="s">
        <v>763</v>
      </c>
      <c r="K134" s="31" t="s">
        <v>782</v>
      </c>
    </row>
    <row r="135" spans="1:11" x14ac:dyDescent="0.3">
      <c r="A135" s="31" t="s">
        <v>641</v>
      </c>
      <c r="B135" s="31" t="s">
        <v>369</v>
      </c>
      <c r="C135" s="31" t="s">
        <v>369</v>
      </c>
      <c r="D135" s="31" t="s">
        <v>369</v>
      </c>
      <c r="E135" s="31" t="s">
        <v>534</v>
      </c>
      <c r="F135" s="31" t="s">
        <v>812</v>
      </c>
      <c r="G135" s="31" t="str">
        <f>IF(Reason_to_switch[[#This Row],[Switch_Status]]="Not Switched",Reason_to_switch[[#This Row],[Switch_Status]])</f>
        <v>Not Switched</v>
      </c>
      <c r="H135" s="31" t="str">
        <f>VLOOKUP(Reason_to_switch[[#This Row],[Name]],SINGLE_RESPONSES[],8,FALSE)</f>
        <v>7</v>
      </c>
      <c r="I135" s="31" t="str">
        <f>IF(Reason_to_switch[[#This Row],[Switch_Status]]="Not Switched",Reason_to_switch[[#This Row],[Switch_Status]],"TRUE")</f>
        <v>Not Switched</v>
      </c>
      <c r="J135" s="31" t="s">
        <v>763</v>
      </c>
      <c r="K135" s="31" t="s">
        <v>782</v>
      </c>
    </row>
    <row r="136" spans="1:11" x14ac:dyDescent="0.3">
      <c r="A136" s="31" t="s">
        <v>644</v>
      </c>
      <c r="B136" s="31" t="s">
        <v>329</v>
      </c>
      <c r="C136" s="31" t="s">
        <v>329</v>
      </c>
      <c r="D136" s="31" t="s">
        <v>369</v>
      </c>
      <c r="E136" s="31" t="s">
        <v>646</v>
      </c>
      <c r="F136" s="31" t="s">
        <v>812</v>
      </c>
      <c r="G136" s="31" t="str">
        <f>IF(Reason_to_switch[[#This Row],[Switch_Status]]="Not Switched",Reason_to_switch[[#This Row],[Switch_Status]])</f>
        <v>Not Switched</v>
      </c>
      <c r="H136" s="31" t="str">
        <f>VLOOKUP(Reason_to_switch[[#This Row],[Name]],SINGLE_RESPONSES[],8,FALSE)</f>
        <v>3</v>
      </c>
      <c r="I136" s="31" t="str">
        <f>IF(Reason_to_switch[[#This Row],[Switch_Status]]="Not Switched",Reason_to_switch[[#This Row],[Switch_Status]],"TRUE")</f>
        <v>Not Switched</v>
      </c>
      <c r="J136" s="31" t="s">
        <v>763</v>
      </c>
      <c r="K136" s="31" t="s">
        <v>787</v>
      </c>
    </row>
    <row r="137" spans="1:11" x14ac:dyDescent="0.3">
      <c r="A137" s="31" t="s">
        <v>650</v>
      </c>
      <c r="B137" s="31" t="s">
        <v>717</v>
      </c>
      <c r="C137" s="31" t="s">
        <v>32</v>
      </c>
      <c r="D137" s="31" t="s">
        <v>717</v>
      </c>
      <c r="E137" s="31" t="s">
        <v>651</v>
      </c>
      <c r="F137" s="31" t="s">
        <v>651</v>
      </c>
      <c r="G137" s="31" t="s">
        <v>782</v>
      </c>
      <c r="H137" s="31" t="str">
        <f>VLOOKUP(Reason_to_switch[[#This Row],[Name]],SINGLE_RESPONSES[],8,FALSE)</f>
        <v>6</v>
      </c>
      <c r="I137" s="31" t="str">
        <f>IF(Reason_to_switch[[#This Row],[Switch_Status]]="Not Switched",Reason_to_switch[[#This Row],[Switch_Status]],"TRUE")</f>
        <v>TRUE</v>
      </c>
      <c r="J137" s="31" t="s">
        <v>813</v>
      </c>
      <c r="K137" s="31" t="s">
        <v>782</v>
      </c>
    </row>
    <row r="138" spans="1:11" x14ac:dyDescent="0.3">
      <c r="A138" s="31" t="s">
        <v>653</v>
      </c>
      <c r="B138" s="31" t="s">
        <v>329</v>
      </c>
      <c r="C138" s="31" t="s">
        <v>717</v>
      </c>
      <c r="D138" s="31" t="s">
        <v>329</v>
      </c>
      <c r="E138" s="31" t="s">
        <v>654</v>
      </c>
      <c r="F138" s="31" t="s">
        <v>654</v>
      </c>
      <c r="G138" s="31" t="s">
        <v>788</v>
      </c>
      <c r="H138" s="31" t="str">
        <f>VLOOKUP(Reason_to_switch[[#This Row],[Name]],SINGLE_RESPONSES[],8,FALSE)</f>
        <v>7</v>
      </c>
      <c r="I138" s="31" t="str">
        <f>IF(Reason_to_switch[[#This Row],[Switch_Status]]="Not Switched",Reason_to_switch[[#This Row],[Switch_Status]],"TRUE")</f>
        <v>TRUE</v>
      </c>
      <c r="J138" s="31" t="s">
        <v>811</v>
      </c>
      <c r="K138" s="31" t="s">
        <v>782</v>
      </c>
    </row>
    <row r="139" spans="1:11" x14ac:dyDescent="0.3">
      <c r="A139" s="31" t="s">
        <v>657</v>
      </c>
      <c r="B139" s="31" t="s">
        <v>32</v>
      </c>
      <c r="C139" s="31" t="s">
        <v>329</v>
      </c>
      <c r="D139" s="31" t="s">
        <v>32</v>
      </c>
      <c r="E139" s="31" t="s">
        <v>658</v>
      </c>
      <c r="F139" s="31" t="s">
        <v>658</v>
      </c>
      <c r="G139" s="31" t="s">
        <v>783</v>
      </c>
      <c r="H139" s="31" t="str">
        <f>VLOOKUP(Reason_to_switch[[#This Row],[Name]],SINGLE_RESPONSES[],8,FALSE)</f>
        <v>7</v>
      </c>
      <c r="I139" s="31" t="str">
        <f>IF(Reason_to_switch[[#This Row],[Switch_Status]]="Not Switched",Reason_to_switch[[#This Row],[Switch_Status]],"TRUE")</f>
        <v>TRUE</v>
      </c>
      <c r="J139" s="31" t="s">
        <v>813</v>
      </c>
      <c r="K139" s="31" t="s">
        <v>787</v>
      </c>
    </row>
    <row r="140" spans="1:11" x14ac:dyDescent="0.3">
      <c r="A140" s="31" t="s">
        <v>661</v>
      </c>
      <c r="B140" s="31" t="s">
        <v>32</v>
      </c>
      <c r="C140" s="31" t="s">
        <v>329</v>
      </c>
      <c r="D140" s="31" t="s">
        <v>32</v>
      </c>
      <c r="E140" s="31" t="s">
        <v>662</v>
      </c>
      <c r="F140" s="31" t="s">
        <v>662</v>
      </c>
      <c r="G140" s="31" t="s">
        <v>784</v>
      </c>
      <c r="H140" s="31" t="str">
        <f>VLOOKUP(Reason_to_switch[[#This Row],[Name]],SINGLE_RESPONSES[],8,FALSE)</f>
        <v>7</v>
      </c>
      <c r="I140" s="31" t="str">
        <f>IF(Reason_to_switch[[#This Row],[Switch_Status]]="Not Switched",Reason_to_switch[[#This Row],[Switch_Status]],"TRUE")</f>
        <v>TRUE</v>
      </c>
      <c r="J140" s="31" t="s">
        <v>813</v>
      </c>
      <c r="K140" s="31" t="s">
        <v>800</v>
      </c>
    </row>
    <row r="141" spans="1:11" x14ac:dyDescent="0.3">
      <c r="A141" s="31" t="s">
        <v>665</v>
      </c>
      <c r="B141" s="31" t="s">
        <v>329</v>
      </c>
      <c r="C141" s="31" t="s">
        <v>32</v>
      </c>
      <c r="D141" s="31" t="s">
        <v>329</v>
      </c>
      <c r="E141" s="31" t="s">
        <v>666</v>
      </c>
      <c r="F141" s="31" t="s">
        <v>666</v>
      </c>
      <c r="G141" s="31" t="s">
        <v>794</v>
      </c>
      <c r="H141" s="31" t="str">
        <f>VLOOKUP(Reason_to_switch[[#This Row],[Name]],SINGLE_RESPONSES[],8,FALSE)</f>
        <v>3</v>
      </c>
      <c r="I141" s="31" t="str">
        <f>IF(Reason_to_switch[[#This Row],[Switch_Status]]="Not Switched",Reason_to_switch[[#This Row],[Switch_Status]],"TRUE")</f>
        <v>TRUE</v>
      </c>
      <c r="J141" s="31" t="s">
        <v>813</v>
      </c>
      <c r="K141" s="31" t="s">
        <v>782</v>
      </c>
    </row>
    <row r="142" spans="1:11" x14ac:dyDescent="0.3">
      <c r="A142" s="31" t="s">
        <v>668</v>
      </c>
      <c r="B142" s="31" t="s">
        <v>329</v>
      </c>
      <c r="C142" s="31" t="s">
        <v>32</v>
      </c>
      <c r="D142" s="31" t="s">
        <v>329</v>
      </c>
      <c r="E142" s="31" t="s">
        <v>671</v>
      </c>
      <c r="F142" s="31" t="s">
        <v>671</v>
      </c>
      <c r="G142" s="31" t="s">
        <v>783</v>
      </c>
      <c r="H142" s="31" t="str">
        <f>VLOOKUP(Reason_to_switch[[#This Row],[Name]],SINGLE_RESPONSES[],8,FALSE)</f>
        <v>7</v>
      </c>
      <c r="I142" s="31" t="str">
        <f>IF(Reason_to_switch[[#This Row],[Switch_Status]]="Not Switched",Reason_to_switch[[#This Row],[Switch_Status]],"TRUE")</f>
        <v>TRUE</v>
      </c>
      <c r="J142" s="31" t="s">
        <v>813</v>
      </c>
      <c r="K142" s="31" t="s">
        <v>801</v>
      </c>
    </row>
    <row r="143" spans="1:11" x14ac:dyDescent="0.3">
      <c r="A143" s="31" t="s">
        <v>674</v>
      </c>
      <c r="B143" s="31" t="s">
        <v>329</v>
      </c>
      <c r="C143" s="31" t="s">
        <v>329</v>
      </c>
      <c r="D143" s="31" t="s">
        <v>369</v>
      </c>
      <c r="E143" s="31" t="s">
        <v>675</v>
      </c>
      <c r="F143" s="31" t="s">
        <v>812</v>
      </c>
      <c r="G143" s="31" t="str">
        <f>IF(Reason_to_switch[[#This Row],[Switch_Status]]="Not Switched",Reason_to_switch[[#This Row],[Switch_Status]])</f>
        <v>Not Switched</v>
      </c>
      <c r="H143" s="31" t="str">
        <f>VLOOKUP(Reason_to_switch[[#This Row],[Name]],SINGLE_RESPONSES[],8,FALSE)</f>
        <v>7</v>
      </c>
      <c r="I143" s="31" t="str">
        <f>IF(Reason_to_switch[[#This Row],[Switch_Status]]="Not Switched",Reason_to_switch[[#This Row],[Switch_Status]],"TRUE")</f>
        <v>Not Switched</v>
      </c>
      <c r="J143" s="31" t="s">
        <v>763</v>
      </c>
      <c r="K143" s="31" t="s">
        <v>802</v>
      </c>
    </row>
    <row r="144" spans="1:11" x14ac:dyDescent="0.3">
      <c r="A144" s="31" t="s">
        <v>678</v>
      </c>
      <c r="B144" s="31" t="s">
        <v>329</v>
      </c>
      <c r="C144" s="31" t="s">
        <v>32</v>
      </c>
      <c r="D144" s="31" t="s">
        <v>329</v>
      </c>
      <c r="E144" s="31" t="s">
        <v>680</v>
      </c>
      <c r="F144" s="31" t="s">
        <v>680</v>
      </c>
      <c r="G144" s="31" t="s">
        <v>794</v>
      </c>
      <c r="H144" s="31" t="str">
        <f>VLOOKUP(Reason_to_switch[[#This Row],[Name]],SINGLE_RESPONSES[],8,FALSE)</f>
        <v>2</v>
      </c>
      <c r="I144" s="31" t="str">
        <f>IF(Reason_to_switch[[#This Row],[Switch_Status]]="Not Switched",Reason_to_switch[[#This Row],[Switch_Status]],"TRUE")</f>
        <v>TRUE</v>
      </c>
      <c r="J144" s="31" t="s">
        <v>813</v>
      </c>
      <c r="K144" s="31" t="s">
        <v>784</v>
      </c>
    </row>
    <row r="145" spans="1:11" x14ac:dyDescent="0.3">
      <c r="A145" s="31" t="s">
        <v>684</v>
      </c>
      <c r="B145" s="31" t="s">
        <v>329</v>
      </c>
      <c r="C145" s="31" t="s">
        <v>329</v>
      </c>
      <c r="D145" s="31" t="s">
        <v>369</v>
      </c>
      <c r="E145" s="31" t="s">
        <v>685</v>
      </c>
      <c r="F145" s="31" t="s">
        <v>812</v>
      </c>
      <c r="G145" s="31" t="str">
        <f>IF(Reason_to_switch[[#This Row],[Switch_Status]]="Not Switched",Reason_to_switch[[#This Row],[Switch_Status]])</f>
        <v>Not Switched</v>
      </c>
      <c r="H145" s="31" t="str">
        <f>VLOOKUP(Reason_to_switch[[#This Row],[Name]],SINGLE_RESPONSES[],8,FALSE)</f>
        <v>7</v>
      </c>
      <c r="I145" s="31" t="str">
        <f>IF(Reason_to_switch[[#This Row],[Switch_Status]]="Not Switched",Reason_to_switch[[#This Row],[Switch_Status]],"TRUE")</f>
        <v>Not Switched</v>
      </c>
      <c r="J145" s="31" t="s">
        <v>763</v>
      </c>
      <c r="K145" s="31" t="s">
        <v>784</v>
      </c>
    </row>
    <row r="146" spans="1:11" x14ac:dyDescent="0.3">
      <c r="A146" s="31" t="s">
        <v>688</v>
      </c>
      <c r="B146" s="31" t="s">
        <v>329</v>
      </c>
      <c r="C146" s="31" t="s">
        <v>32</v>
      </c>
      <c r="D146" s="31" t="s">
        <v>32</v>
      </c>
      <c r="E146" s="31" t="s">
        <v>213</v>
      </c>
      <c r="F146" s="31" t="s">
        <v>213</v>
      </c>
      <c r="G146" s="31" t="s">
        <v>794</v>
      </c>
      <c r="H146" s="31" t="str">
        <f>VLOOKUP(Reason_to_switch[[#This Row],[Name]],SINGLE_RESPONSES[],8,FALSE)</f>
        <v>7</v>
      </c>
      <c r="I146" s="31" t="str">
        <f>IF(Reason_to_switch[[#This Row],[Switch_Status]]="Not Switched",Reason_to_switch[[#This Row],[Switch_Status]],"TRUE")</f>
        <v>TRUE</v>
      </c>
      <c r="J146" s="31" t="s">
        <v>813</v>
      </c>
      <c r="K146" s="31" t="s">
        <v>782</v>
      </c>
    </row>
    <row r="147" spans="1:11" x14ac:dyDescent="0.3">
      <c r="A147" s="31" t="s">
        <v>690</v>
      </c>
      <c r="B147" s="31" t="s">
        <v>329</v>
      </c>
      <c r="C147" s="31" t="s">
        <v>329</v>
      </c>
      <c r="D147" s="31" t="s">
        <v>329</v>
      </c>
      <c r="E147" s="31" t="s">
        <v>691</v>
      </c>
      <c r="F147" s="31" t="s">
        <v>812</v>
      </c>
      <c r="G147" s="31" t="str">
        <f>IF(Reason_to_switch[[#This Row],[Switch_Status]]="Not Switched",Reason_to_switch[[#This Row],[Switch_Status]])</f>
        <v>Not Switched</v>
      </c>
      <c r="H147" s="31" t="str">
        <f>VLOOKUP(Reason_to_switch[[#This Row],[Name]],SINGLE_RESPONSES[],8,FALSE)</f>
        <v>7</v>
      </c>
      <c r="I147" s="31" t="str">
        <f>IF(Reason_to_switch[[#This Row],[Switch_Status]]="Not Switched",Reason_to_switch[[#This Row],[Switch_Status]],"TRUE")</f>
        <v>Not Switched</v>
      </c>
      <c r="J147" s="31" t="s">
        <v>763</v>
      </c>
      <c r="K147" s="31" t="s">
        <v>784</v>
      </c>
    </row>
    <row r="148" spans="1:11" x14ac:dyDescent="0.3">
      <c r="A148" s="31" t="s">
        <v>694</v>
      </c>
      <c r="B148" s="31" t="s">
        <v>329</v>
      </c>
      <c r="C148" s="31" t="s">
        <v>329</v>
      </c>
      <c r="D148" s="31" t="s">
        <v>329</v>
      </c>
      <c r="E148" s="31" t="s">
        <v>695</v>
      </c>
      <c r="F148" s="31" t="s">
        <v>812</v>
      </c>
      <c r="G148" s="31" t="str">
        <f>IF(Reason_to_switch[[#This Row],[Switch_Status]]="Not Switched",Reason_to_switch[[#This Row],[Switch_Status]])</f>
        <v>Not Switched</v>
      </c>
      <c r="H148" s="31" t="str">
        <f>VLOOKUP(Reason_to_switch[[#This Row],[Name]],SINGLE_RESPONSES[],8,FALSE)</f>
        <v>1</v>
      </c>
      <c r="I148" s="31" t="str">
        <f>IF(Reason_to_switch[[#This Row],[Switch_Status]]="Not Switched",Reason_to_switch[[#This Row],[Switch_Status]],"TRUE")</f>
        <v>Not Switched</v>
      </c>
      <c r="J148" s="31" t="s">
        <v>763</v>
      </c>
      <c r="K148" s="31" t="s">
        <v>786</v>
      </c>
    </row>
    <row r="149" spans="1:11" x14ac:dyDescent="0.3">
      <c r="A149" s="31" t="s">
        <v>699</v>
      </c>
      <c r="B149" s="31" t="s">
        <v>369</v>
      </c>
      <c r="C149" s="31" t="s">
        <v>717</v>
      </c>
      <c r="D149" s="31" t="s">
        <v>369</v>
      </c>
      <c r="E149" s="31" t="s">
        <v>701</v>
      </c>
      <c r="F149" s="31" t="s">
        <v>701</v>
      </c>
      <c r="G149" s="31" t="s">
        <v>791</v>
      </c>
      <c r="H149" s="31" t="str">
        <f>VLOOKUP(Reason_to_switch[[#This Row],[Name]],SINGLE_RESPONSES[],8,FALSE)</f>
        <v>4</v>
      </c>
      <c r="I149" s="31" t="str">
        <f>IF(Reason_to_switch[[#This Row],[Switch_Status]]="Not Switched",Reason_to_switch[[#This Row],[Switch_Status]],"TRUE")</f>
        <v>TRUE</v>
      </c>
      <c r="J149" s="31" t="s">
        <v>811</v>
      </c>
      <c r="K149" s="31" t="s">
        <v>815</v>
      </c>
    </row>
    <row r="150" spans="1:11" x14ac:dyDescent="0.3">
      <c r="A150" s="31" t="s">
        <v>704</v>
      </c>
      <c r="B150" s="31" t="s">
        <v>329</v>
      </c>
      <c r="C150" s="31" t="s">
        <v>329</v>
      </c>
      <c r="D150" s="31" t="s">
        <v>32</v>
      </c>
      <c r="E150" s="31" t="s">
        <v>705</v>
      </c>
      <c r="F150" s="31" t="s">
        <v>812</v>
      </c>
      <c r="G150" s="31" t="str">
        <f>IF(Reason_to_switch[[#This Row],[Switch_Status]]="Not Switched",Reason_to_switch[[#This Row],[Switch_Status]])</f>
        <v>Not Switched</v>
      </c>
      <c r="H150" s="31" t="str">
        <f>VLOOKUP(Reason_to_switch[[#This Row],[Name]],SINGLE_RESPONSES[],8,FALSE)</f>
        <v>7</v>
      </c>
      <c r="I150" s="31" t="str">
        <f>IF(Reason_to_switch[[#This Row],[Switch_Status]]="Not Switched",Reason_to_switch[[#This Row],[Switch_Status]],"TRUE")</f>
        <v>Not Switched</v>
      </c>
      <c r="J150" s="31" t="s">
        <v>763</v>
      </c>
      <c r="K150" s="31" t="s">
        <v>784</v>
      </c>
    </row>
    <row r="151" spans="1:11" x14ac:dyDescent="0.3">
      <c r="A151" s="31" t="s">
        <v>708</v>
      </c>
      <c r="B151" s="31" t="s">
        <v>329</v>
      </c>
      <c r="C151" s="31" t="s">
        <v>329</v>
      </c>
      <c r="D151" s="31" t="s">
        <v>329</v>
      </c>
      <c r="E151" s="31" t="s">
        <v>213</v>
      </c>
      <c r="F151" s="31" t="s">
        <v>812</v>
      </c>
      <c r="G151" s="31" t="str">
        <f>IF(Reason_to_switch[[#This Row],[Switch_Status]]="Not Switched",Reason_to_switch[[#This Row],[Switch_Status]])</f>
        <v>Not Switched</v>
      </c>
      <c r="H151" s="31" t="str">
        <f>VLOOKUP(Reason_to_switch[[#This Row],[Name]],SINGLE_RESPONSES[],8,FALSE)</f>
        <v>7</v>
      </c>
      <c r="I151" s="31" t="str">
        <f>IF(Reason_to_switch[[#This Row],[Switch_Status]]="Not Switched",Reason_to_switch[[#This Row],[Switch_Status]],"TRUE")</f>
        <v>Not Switched</v>
      </c>
      <c r="J151" s="31" t="s">
        <v>763</v>
      </c>
      <c r="K151" s="31" t="s">
        <v>782</v>
      </c>
    </row>
    <row r="154" spans="1:11" x14ac:dyDescent="0.3">
      <c r="F154" s="31" t="s">
        <v>169</v>
      </c>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29EDB7-AB44-4830-B7B4-C3F75C71C5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Exploratory Data Analysis</vt:lpstr>
      <vt:lpstr>Top_of_Mind_Awareness</vt:lpstr>
      <vt:lpstr>Imagery_Analysis</vt:lpstr>
      <vt:lpstr>Sheet1</vt:lpstr>
      <vt:lpstr>NPS</vt:lpstr>
      <vt:lpstr>Analysis for alternate apps</vt:lpstr>
      <vt:lpstr>CURRENT USAGE_Data</vt:lpstr>
      <vt:lpstr>Awareness_data</vt:lpstr>
      <vt:lpstr>Engineered_Awareness_data</vt:lpstr>
      <vt:lpstr>EVER USED_Data</vt:lpstr>
      <vt:lpstr>IMAGERY_Data</vt:lpstr>
      <vt:lpstr>SINGLE_RESPONSES</vt:lpstr>
      <vt:lpstr>Main_Table</vt:lpstr>
      <vt:lpstr>Form Responses 1</vt:lpstr>
      <vt:lpstr>Reason_to_switch_&amp;_keep_using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Nouman Abbas</cp:lastModifiedBy>
  <dcterms:created xsi:type="dcterms:W3CDTF">2026-05-08T19:22:55Z</dcterms:created>
  <dcterms:modified xsi:type="dcterms:W3CDTF">2026-07-21T14:39:03Z</dcterms:modified>
</cp:coreProperties>
</file>